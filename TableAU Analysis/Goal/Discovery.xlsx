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psiog0-my.sharepoint.com/personal/sridhar_vetrivel_psiog_com/Documents/Accounts/GTF/TableAU Analysis/Goal/"/>
    </mc:Choice>
  </mc:AlternateContent>
  <xr:revisionPtr revIDLastSave="97" documentId="11_FB1DD3C49F8C1219D07F58EA67EE0D79B97E84A9" xr6:coauthVersionLast="47" xr6:coauthVersionMax="47" xr10:uidLastSave="{E5979001-01B8-4176-AD65-54F1D2D8E999}"/>
  <bookViews>
    <workbookView xWindow="20370" yWindow="-4770" windowWidth="29040" windowHeight="15720" xr2:uid="{00000000-000D-0000-FFFF-FFFF00000000}"/>
  </bookViews>
  <sheets>
    <sheet name="Evaluation Matrix - 1" sheetId="1" r:id="rId1"/>
    <sheet name="Priority Summary" sheetId="2" r:id="rId2"/>
    <sheet name="Legend" sheetId="3" r:id="rId3"/>
  </sheets>
  <definedNames>
    <definedName name="_xlnm._FilterDatabase" localSheetId="0" hidden="1">'Evaluation Matrix - 1'!$A$1:$E$201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 i="2" l="1"/>
  <c r="D21" i="2"/>
  <c r="C21" i="2"/>
  <c r="B21" i="2"/>
  <c r="E20" i="2"/>
  <c r="D20" i="2"/>
  <c r="C20" i="2"/>
  <c r="B20" i="2"/>
  <c r="E19" i="2"/>
  <c r="D19" i="2"/>
  <c r="C19" i="2"/>
  <c r="B19" i="2"/>
  <c r="E18" i="2"/>
  <c r="D18" i="2"/>
  <c r="C18" i="2"/>
  <c r="B18" i="2"/>
  <c r="E17" i="2"/>
  <c r="D17" i="2"/>
  <c r="C17" i="2"/>
  <c r="B17" i="2"/>
  <c r="F17" i="2" s="1"/>
  <c r="E16" i="2"/>
  <c r="D16" i="2"/>
  <c r="C16" i="2"/>
  <c r="B16" i="2"/>
  <c r="F16" i="2" s="1"/>
  <c r="E15" i="2"/>
  <c r="D15" i="2"/>
  <c r="C15" i="2"/>
  <c r="B15" i="2"/>
  <c r="F15" i="2" s="1"/>
  <c r="E14" i="2"/>
  <c r="D14" i="2"/>
  <c r="C14" i="2"/>
  <c r="B14" i="2"/>
  <c r="F14" i="2" s="1"/>
  <c r="E13" i="2"/>
  <c r="D13" i="2"/>
  <c r="C13" i="2"/>
  <c r="B13" i="2"/>
  <c r="E12" i="2"/>
  <c r="D12" i="2"/>
  <c r="C12" i="2"/>
  <c r="B12" i="2"/>
  <c r="E11" i="2"/>
  <c r="D11" i="2"/>
  <c r="C11" i="2"/>
  <c r="B11" i="2"/>
  <c r="E10" i="2"/>
  <c r="D10" i="2"/>
  <c r="C10" i="2"/>
  <c r="B10" i="2"/>
  <c r="E9" i="2"/>
  <c r="D9" i="2"/>
  <c r="C9" i="2"/>
  <c r="B9" i="2"/>
  <c r="E8" i="2"/>
  <c r="D8" i="2"/>
  <c r="C8" i="2"/>
  <c r="B8" i="2"/>
  <c r="E7" i="2"/>
  <c r="D7" i="2"/>
  <c r="C7" i="2"/>
  <c r="B7" i="2"/>
  <c r="E6" i="2"/>
  <c r="D6" i="2"/>
  <c r="C6" i="2"/>
  <c r="B6" i="2"/>
  <c r="E5" i="2"/>
  <c r="D5" i="2"/>
  <c r="C5" i="2"/>
  <c r="B5" i="2"/>
  <c r="E4" i="2"/>
  <c r="D4" i="2"/>
  <c r="C4" i="2"/>
  <c r="B4" i="2"/>
  <c r="E3" i="2"/>
  <c r="D3" i="2"/>
  <c r="C3" i="2"/>
  <c r="B3" i="2"/>
  <c r="F3" i="2" s="1"/>
  <c r="E2" i="2"/>
  <c r="E22" i="2" s="1"/>
  <c r="D2" i="2"/>
  <c r="C2" i="2"/>
  <c r="B2" i="2"/>
  <c r="B22" i="2" s="1"/>
  <c r="F20" i="2" l="1"/>
  <c r="F19" i="2"/>
  <c r="F7" i="2"/>
  <c r="C22" i="2"/>
  <c r="F5" i="2"/>
  <c r="F11" i="2"/>
  <c r="D22" i="2"/>
  <c r="F22" i="2" s="1"/>
  <c r="F6" i="2"/>
  <c r="F9" i="2"/>
  <c r="F12" i="2"/>
  <c r="F18" i="2"/>
  <c r="F21" i="2"/>
  <c r="F8" i="2"/>
  <c r="F4" i="2"/>
  <c r="F10" i="2"/>
  <c r="F13" i="2"/>
  <c r="F2" i="2"/>
</calcChain>
</file>

<file path=xl/sharedStrings.xml><?xml version="1.0" encoding="utf-8"?>
<sst xmlns="http://schemas.openxmlformats.org/spreadsheetml/2006/main" count="1259" uniqueCount="692">
  <si>
    <t>S.No</t>
  </si>
  <si>
    <t>Category</t>
  </si>
  <si>
    <t>Breakdown Item</t>
  </si>
  <si>
    <t>Priority</t>
  </si>
  <si>
    <t>Discovery Reasoning (AtScale → Tableau/Power BI)</t>
  </si>
  <si>
    <t>PowerBI</t>
  </si>
  <si>
    <t>Tableau</t>
  </si>
  <si>
    <t>PowerBI Proof/Validation</t>
  </si>
  <si>
    <t>Tableau Proof/Validation</t>
  </si>
  <si>
    <t>Findings/Conclusion</t>
  </si>
  <si>
    <t>Status</t>
  </si>
  <si>
    <t>1. Data Connectivity &amp; Integration</t>
  </si>
  <si>
    <t>Native connectors to structured sources (SQL Server, Oracle, Snowflake, BigQuery, Redshift, SAP HANA)</t>
  </si>
  <si>
    <t>Low</t>
  </si>
  <si>
    <t>Official documentation:
https://learn.microsoft.com/en-us/power-query/connectors/web/web+H+C3https://learn.microsoft.com/en-us/power-query/connectors/json</t>
  </si>
  <si>
    <t>Capable. Native certified connectors for all listed sources. SQL Server is best-in-class (Microsoft-native). Snowflake, BigQuery, Redshift, Oracle, SAP HANA all support Import + DirectQuery modes. SAP HANA has a dedicated certified connector with SSO.</t>
  </si>
  <si>
    <t>Capable. Native connectors for all listed sources, both Live and Extract modes. SAP HANA, Snowflake, BigQuery, Redshift, Oracle, SQL Server are first-class connectors with vendor-certified drivers. Tableau publishes connector compatibility matrices per release.</t>
  </si>
  <si>
    <t>Official documentation:
https://learn.microsoft.com/en-us/power-bi/connect-data/desktop-data-sources
https://learn.microsoft.com/en-us/power-query/connectors/</t>
  </si>
  <si>
    <t>Official documentation:
https://help.tableau.com/current/pro/desktop/en-us/exampleconnections_overview.htm</t>
  </si>
  <si>
    <t>COMPLETED</t>
  </si>
  <si>
    <t>Support for semi-structured and unstructured sources (JSON, XML, REST APIs, web scraping)</t>
  </si>
  <si>
    <t>No AtScale-specific angle — evaluate as native tool capability via vendor documentation.</t>
  </si>
  <si>
    <t>Capable. JSON and XML are native via Power Query. REST APIs supported via the Web connector with Power Query M functions (pagination, auth, transformations). Basic web scraping via Web.Page/Web.BrowserContents. Transformation logic must live in Power Query/M.</t>
  </si>
  <si>
    <t>Capable but lighter. Native JSON connector; XML via WDC or pre-processing. REST APIs via Web Data Connector (JavaScript-based) or Tableau Prep with custom scripts. No native generic web scraping — typically pre-processed upstream.</t>
  </si>
  <si>
    <t>Official documentation:
https://learn.microsoft.com/en-us/power-query/connectors/web/web
https://learn.microsoft.com/en-us/power-query/connectors/json</t>
  </si>
  <si>
    <t>Official documentation:
https://help.tableau.com/current/pro/desktop/en-us/examples_json.htm
https://help.tableau.com/current/api/webdataconnector/en-us/</t>
  </si>
  <si>
    <t>File-based ingestion (Excel, CSV, Parquet, Avro)</t>
  </si>
  <si>
    <t>Medium</t>
  </si>
  <si>
    <t>Analysts may run ad-hoc analyses against Excel/CSV that bypass AtScale. Confirm both tools support common file formats for one-off work without breaking governance.</t>
  </si>
  <si>
    <t>Mostly capable. Excel, CSV, Parquet (incl. Delta/Fabric) are native. Avro is NOT natively supported in Power BI Desktop — workaround is to convert upstream (Databricks/ADF) or use dataflows with Synapse.</t>
  </si>
  <si>
    <t>Mostly capable. Excel, CSV, JSON are native. Parquet via Tableau Hyper API or Tableau Prep (also via cloud connectors like Athena/Snowflake). Avro is NOT natively supported — must convert upstream.</t>
  </si>
  <si>
    <t>Official documentation:
https://learn.microsoft.com/en-us/power-query/connectors/excel
https://learn.microsoft.com/en-us/power-query/connectors/parquet</t>
  </si>
  <si>
    <t>Official documentation:
https://help.tableau.com/current/pro/desktop/en-us/examples_text.htm
https://tableau.github.io/hyper-db/docs/</t>
  </si>
  <si>
    <t>Cloud storage connectors (S3, Azure Blob, GCS)</t>
  </si>
  <si>
    <t>Curated data lands via Databricks/ADF</t>
  </si>
  <si>
    <t>Capable, Azure-favored. Azure Blob Storage and ADLS Gen2 are best-in-class native connectors. AWS S3 supported via Power Query S3 connector (preview/GA depending on region) or indirectly through Athena/Snowflake. GCS via Power Query Google BigQuery connector</t>
  </si>
  <si>
    <t>Capable, cloud-neutral. Amazon S3 connector, Azure Data Lake Storage Gen2 connector, and Google Cloud Storage connector all native. Tableau treats the three major clouds as first-class peers.</t>
  </si>
  <si>
    <t>Official documentation:
https://learn.microsoft.com/en-us/power-query/connectors/azure-blob-storage
https://learn.microsoft.com/en-us/power-query/connectors/amazon-athena
https://learn.microsoft.com/en-us/power-query/connectors/google-bigquery</t>
  </si>
  <si>
    <t>Official documentation:
https://help.tableau.com/current/pro/desktop/en-us/examples_amazons3.htm
https://help.tableau.com/current/pro/desktop/en-us/examples_azure_data_lake_gen2.htm
https://help.tableau.com/current/pro/desktop/en-us/examples_googlebigquery.htm</t>
  </si>
  <si>
    <t>ERP/CRM connectors (SAP, Salesforce, Dynamics 365, ServiceNow)</t>
  </si>
  <si>
    <t>Not needed</t>
  </si>
  <si>
    <t>Source systems land in EDW upstream; BI tool never touches them directly. No discovery action needed.</t>
  </si>
  <si>
    <t>Capable, Microsoft ecosystem advantage. Dynamics 365 + Dataverse: deepest native integration. SAP BW and SAP HANA: certified connectors. Salesforce Objects/Reports: native. ServiceNow: via REST/OData or certified partner connector.</t>
  </si>
  <si>
    <t>Capable, Salesforce ecosystem advantage. Salesforce (Tableau is Salesforce-owned) — deepest native. SAP HANA: certified. Dynamics 365: via OData/REST. ServiceNow: via OData/REST or partner connector.</t>
  </si>
  <si>
    <t>Official documentation:
https://learn.microsoft.com/en-us/power-query/connectors/ (full connector list)</t>
  </si>
  <si>
    <t>Custom connector development capability (SDK support)</t>
  </si>
  <si>
    <t>No bespoke source planned beyond AtScale. No AtScale-specific angle — evaluate as native tool capability via vendor documentation.</t>
  </si>
  <si>
    <t>Capable. Power Query SDK (Visual Studio and VS Code extensions) for building custom connectors using the M language. Connectors can be certified by Microsoft and listed in the Power BI connector gallery. OAuth flows and credential management built-in.</t>
  </si>
  <si>
    <t>Capable. Two paths: (1) Tableau Connector SDK for native connectors over JDBC/ODBC with custom TDC dialect files; (2) Web Data Connector (WDC) framework — JavaScript-based, runs in browser. Hyper API for programmatic extract writes.</t>
  </si>
  <si>
    <t>Official documentation:
https://learn.microsoft.com/en-us/power-query/install-sdk
https://github.com/Microsoft/DataConnectors</t>
  </si>
  <si>
    <t>Official documentation:
https://tableau.github.io/connector-plugin-sdk/
https://help.tableau.com/current/api/webdataconnector/en-us/</t>
  </si>
  <si>
    <t>Live connection vs. import mode availability per source</t>
  </si>
  <si>
    <t>High</t>
  </si>
  <si>
    <t>CRITICAL — live connection to AtScale (XMLA/MDX) is the architectural consumption pattern. Validate that each tool supports live mode without silently falling back to import, and benchmark latency under realistic load.</t>
  </si>
  <si>
    <t>Capable. Three modes: Import (in-memory VertiPaq), DirectQuery (live pushdown), and Composite/Dual. DirectQuery supported for most relational, cloud DW, and OLAP sources (SQL Server, Snowflake, BigQuery, Redshift, SAP HANA, Synapse, SSAS/AAS, and AtScale via the Analysis Services XMLA endpoint). Mode is per-table in composite models.</t>
  </si>
  <si>
    <t>Capable. Two modes: Live Connection (pushdown) or Extract (Hyper engine, in-memory columnar). Live connection supported for most relational, cloud DW, and OLAP sources including SAP HANA, Snowflake, BigQuery, Redshift, Microsoft Analysis Services (SSAS/AtScale via XMLA). Hybrid possible via published data sources mixing live + extract.</t>
  </si>
  <si>
    <t>POC steps:
1. Install Power BI Desktop; connect to AtScale via the Analysis Services connector using the XMLA endpoint.
2. Choose 'Connect live' (DirectQuery to SSAS-compatible source).
3. Build a representative report against an AtScale cube (P&amp;L summary).
4. Use Performance Analyzer + DAX Studio/SQL Profiler to confirm queries are pushed to AtScale (no local cache).
5. Benchmark Live vs Import for the same report (record load + interaction latency).
6. Validate the connection does NOT silently switch to Import on publish to Power BI Service.</t>
  </si>
  <si>
    <t>POC steps:
1. Install Tableau Desktop; obtain AtScale's Tableau TDC file (or use the certified AtScale connector).
2. Connect Live to the AtScale XMLA endpoint (Microsoft Analysis Services connector).
3. Build the same representative worksheet/dashboard as in the Power BI POC.
4. Use Performance Recording (Help → Settings and Performance → Start Performance Recording) to confirm queries hit AtScale (MDX/SQL pushdown).
5. Benchmark Live vs Extract for the same workbook.
6. Publish to Tableau Server/Cloud and verify Live connection is preserved (not silently extracted).</t>
  </si>
  <si>
    <t>BLOCKER</t>
  </si>
  <si>
    <t>OAuth and token-based authentication support for API sources</t>
  </si>
  <si>
    <t>Not relevant for AtScale/SSAS connection (Kerberos/Azure AD path). No AtScale-specific angle — evaluate as native tool capability via vendor documentation.</t>
  </si>
  <si>
    <t>Capable. OAuth 2.0 supported natively for many cloud connectors (Microsoft Entra ID, Dataverse, Snowflake, BigQuery, Salesforce, SharePoint, etc.). Custom OAuth flows can be implemented in custom connectors via the Power Query SDK. Service Principal auth supported for Power BI Service automation.</t>
  </si>
  <si>
    <t>Capable. OAuth 2.0 supported natively for many cloud connectors (Salesforce, Google BigQuery, Snowflake, OneDrive, etc.). PAT (Personal Access Token) and JWT supported for REST API. Custom OAuth via Web Data Connector framework.</t>
  </si>
  <si>
    <t>Official documentation:
https://learn.microsoft.com/en-us/power-query/handling-authentication</t>
  </si>
  <si>
    <t>Official documentation:
https://help.tableau.com/current/server/en-us/config_oauth_google.htm
https://help.tableau.com/current/server/en-us/security_auth.htm</t>
  </si>
  <si>
    <t>Support for on-premises data sources via gateway</t>
  </si>
  <si>
    <t xml:space="preserve">Maps to client requirement #2. Compare Power BI On-Premises Data Gateway vs Tableau Bridge for connecting to AtScale (whether AtScale is on-prem or cloud-hosted) — sizing, HA, and licensing.
</t>
  </si>
  <si>
    <t>Capable. On-Premises Data Gateway (Standard mode) supports DirectQuery, scheduled refresh, and dataflows for on-prem sources. HA via gateway clusters. Kerberos constrained delegation for SSO. Single gateway can serve multiple workspaces. Mature and widely deployed.</t>
  </si>
  <si>
    <t>Capable. Tableau Bridge (for Tableau Cloud) supports both live queries and extract refresh from on-prem sources. Bridge pools provide HA. For Tableau Server (on-prem/IaaS), no gateway needed — Server itself sits next to the data. Bridge is newer than PBI gateway but production-ready.</t>
  </si>
  <si>
    <t>Official Documentation (all links validated):
1. Install On-Premises Data Gateway (Standard Mode)
   https://learn.microsoft.com/en-us/data-integration/gateway/service-gateway-install
   Min requirements: Windows Server 2019+, 8-core CPU, 8 GB RAM, .NET 4.8
   Covers: standard install, adding a node to a cluster, personal vs standard mode
2. Add Analysis Services / AtScale (XMLA) as a Gateway Data Source
   https://learn.microsoft.com/en-us/power-bi/connect-data/service-gateway-enterprise-manage-ssas
   Covers: multidimensional &amp; tabular SSAS, EffectiveUserName propagation, UPN mapping,
   live connection vs scheduled refresh, role-based &amp; row-level security pass-through
   Note: Gateway VM must be domain-joined to same AD forest as AtScale; Windows auth only
3. Configure Kerberos SSO (required for per-user identity pass-through to AtScale)
   https://learn.microsoft.com/en-us/power-bi/connect-data/service-gateway-sso-kerberos
   Covers: SPN registration (setspn), constrained delegation setup in AD, gateway
   service account config, AES 128/256 encryption on service accounts, UPN mapping
   for Entra ID / on-prem AD mismatch, resource-based delegation (cross-domain)
4. High Availability - Gateway Cluster (up to 10 nodes, load balancing)
   https://learn.microsoft.com/en-us/data-integration/gateway/service-gateway-high-availability-clusters
   Covers: adding nodes to cluster, random vs round-robin load balancing,
   CPU/memory throttling thresholds per node, failover behavior
5. Monitor &amp; Size Gateway Performance
   https://learn.microsoft.com/en-us/data-integration/gateway/service-gateway-performance
   Covers: query execution logs (CSV), downloadable Power BI performance dashboard
   template, spooling, streaming mode, antivirus exclusion folders
6. Firewall &amp; Network Ports (required outbound - no inbound ports needed)
   https://learn.microsoft.com/en-us/data-integration/gateway/service-gateway-communication
   Required outbound ports: TCP 443, 5671, 5672, 9350-9354 (Azure Service Bus/Relay)
   FQDNs: *.servicebus.windows.net, *.powerbi.com, *.analysis.windows.net</t>
  </si>
  <si>
    <t>Official Documentation (all links validated):
1. Install Tableau Bridge (Windows machine with network access to AtScale required)
   https://help.tableau.com/current/online/en-us/to_bridge_install.htm
   Covers: prerequisites, install steps, signing in to Tableau Cloud to register client
2. Connectivity with Bridge - How Bridge Reaches Private Network Sources
   https://help.tableau.com/current/online/en-us/to_sync_local_data.htm
   Covers: on-prem and private cloud sources unreachable by Tableau Cloud,
   supported connection types (live + extract), file-based source limitations
3. Publish a Private Network Data Source with a Live Connection (AtScale via XMLA)
   https://help.tableau.com/current/online/en-us/to_bridge_livequery.htm
   Covers: configuring AtScale XMLA endpoint as private network source,
   pool assignment, Private Network Allowlist domain configuration (v2025.1+)
4. Configure Bridge Pools (High Availability &amp; Load Balancing)
   https://help.tableau.com/current/online/en-us/to_enable_bridge_live_connections.htm
   Covers: site admin pool setup, parallel execution of live queries and refresh
   jobs across pool members, pool capacity configuration
5. Manage Pools - Monitor, Scale, Add/Remove Bridge Clients
   https://help.tableau.com/current/online/en-us/to_bridge_manage.htm
   Covers: Jobs page monitoring, built-in admin views, HA best practice:
   deploy N+1 Bridge clients in pool to tolerate one client failure
6. Plan Your Bridge Deployment (Sizing &amp; Capacity)
   https://help.tableau.com/current/online/en-us/to_bridge_scale.htm
   Covers: sizing recommendations, deployment planning for first-time setup
   and upgrades, component impact analysis
7. Bridge Security &amp; Required Network Ports
   https://help.tableau.com/current/online/en-us/to_bridge_security.htm
   Outbound only: Port 443 (to Tableau Cloud), Port 80 (certificate validation)
   No inbound ports required; all traffic is outbound-initiated from Bridge
8. Keep Data Fresh - Live Queries vs Extract Refresh via Bridge
   https://help.tableau.com/current/online/en-us/to_keep_data_fresh.htm
   Covers: scheduling extract refreshes, live query behavior, freshness options
   for published workbooks and data sources</t>
  </si>
  <si>
    <t xml:space="preserve">Both tools have production-grade gateway/bridge solutions.
Power BI On-Premises Data Gateway (Standard): Windows-only, HA clusters up to 10 nodes, Kerberos SSO delegation, load balancing, Microsoft-managed monthly updates. Tableau Bridge: Windows-only, pool-based HA, live + extract over private networks — functionally equivalent but newer and less mature on clustering/monitoring tooling.
For GTF/AtScale: the gateway routes Power BI Service queries to the on-prem/VNet-hosted AtScale instance. Kerberos constrained delegation is required for per-user SSO — tested and documented by AtScale for Power BI. Tableau's AtScale Cloud Connector (OAuth SSO, no Bridge needed for Tableau Cloud) makes the connectivity story marginally simpler on the Tableau side.
Advantage: TIE — both are capable. </t>
  </si>
  <si>
    <t>Connector certification and update frequency by vendor</t>
  </si>
  <si>
    <t>Only the AtScale connector matters. Confirm whether AtScale or the BI vendor maintains it, and what the support SLA is when AtScale upgrades MDX behavior.</t>
  </si>
  <si>
    <t>Capable. Microsoft maintains the Analysis Services / XMLA connector used to reach AtScale. Power BI Desktop ships monthly with connector updates. AtScale is a Microsoft partner — compatibility is tested against Power BI Premium/Fabric XMLA endpoints. SLA-backed support through Microsoft for the connector.</t>
  </si>
  <si>
    <t>Capable. Tableau ships connector updates with each release (~quarterly major, monthly minor). AtScale publishes an official Tableau connector and tests against Tableau Desktop/Server. Tableau's MS Analysis Services connector handles XMLA/MDX for AtScale cubes.</t>
  </si>
  <si>
    <t>Official documentation:
https://learn.microsoft.com/en-us/power-bi/connect-data/desktop-analysis-services-tabular-data
Power BI Desktop release notes (monthly): https://learn.microsoft.com/en-us/power-bi/fundamentals/desktop-latest-update</t>
  </si>
  <si>
    <t>Official documentation:
https://help.tableau.com/current/pro/desktop/en-us/examples_olap.htm
AtScale-Tableau integration: https://documentation.atscale.com/ (consult AtScale docs for the certified Tableau connector matrix)</t>
  </si>
  <si>
    <t>2. Visualization &amp; UX</t>
  </si>
  <si>
    <t>Library of standard chart types (bar, line, scatter, pie, waterfall, funnel, bullet)</t>
  </si>
  <si>
    <t>Capable. Bar, line, scatter, pie, waterfall, funnel are native default visuals. BULLET chart is NOT a default visual — available via certified AppSource visuals (e.g., MAQ Software Bullet Chart, OKViz Bullet Chart) or built as a workaround on a bar visual.</t>
  </si>
  <si>
    <t>Capable. All listed (bar, line, scatter, pie, waterfall, funnel, bullet) are natively available via the 'Show Me' panel. Bullet chart is a first-class native chart type in Tableau.</t>
  </si>
  <si>
    <t>Official documentation:
https://learn.microsoft.com/en-us/power-bi/visuals/power-bi-visualization-types-for-reports-and-q-and-a
AppSource bullet visuals: https://appsource.microsoft.com/ (search 'bullet chart')</t>
  </si>
  <si>
    <t xml:space="preserve">Official documentation:
https://help.tableau.com/current/pro/desktop/en-us/dataview_examples.htm
</t>
  </si>
  <si>
    <t>No decisive winner for GTF. Both tools cover bar, line, scatter, pie, waterfall, and funnel natively. Tableau has a slight edge: bullet chart is a first-class native type, while Power BI requires a third-party AppSource visual for bullet charts. For GTF's core reporting needs, both tools are equivalent on standard chart coverage.</t>
  </si>
  <si>
    <t>Advanced/specialized chart types (heatmaps, treemaps, Sankey, chord, small multiples)</t>
  </si>
  <si>
    <t>Mostly capable. Treemap and small multiples are native (small multiples GA since 2022). Heatmap via matrix + conditional formatting. SANKEY and CHORD are NOT native — require certified custom visuals from AppSource (MAQ Software Sankey, ZoomCharts, etc.).</t>
  </si>
  <si>
    <t>Mostly capable. Treemap, heatmap (highlight table / density), and small multiples (via trellis layouts) are native. SANKEY and CHORD are NOT native — built via data densification techniques, community templates, or Tableau Extensions.</t>
  </si>
  <si>
    <t>Official documentation:
https://learn.microsoft.com/en-us/power-bi/visuals/power-bi-visualization-small-multiples
https://learn.microsoft.com/en-us/power-bi/visuals/power-bi-visualization-treemaps</t>
  </si>
  <si>
    <t xml:space="preserve">Official documentation:
https://help.tableau.com/current/pro/desktop/en-us/buildexamples_treemap.htm
</t>
  </si>
  <si>
    <t>No decisive winner. Both tools handle treemaps, heatmaps, and small multiples natively. Sankey and chord diagrams require workarounds in both tools — AppSource custom visuals in Power BI and data densification templates in Tableau. Neither tool has a meaningful native advantage for the advanced chart types listed. Not a differentiating factor for GTF's evaluation.</t>
  </si>
  <si>
    <t>Custom visualization support (D3.js, Vega-Lite, marketplace extensions)</t>
  </si>
  <si>
    <t>Capable. AppSource hosts hundreds of certified custom visuals. Custom Visual SDK uses TypeScript + D3.js (direct D3 support). Power BI also supports R and Python visuals for advanced charts. No native Vega-Lite, but D3 integration is first-class.</t>
  </si>
  <si>
    <t>Capable. Tableau Exchange hosts extensions. Dashboard Extensions API (JavaScript) allows embedded extensions and external visualization libraries (including D3.js wrapped in an extension). Viz Extensions (newer, 2024) allow custom mark types. No native Vega-Lite.</t>
  </si>
  <si>
    <t>Official documentation:
https://learn.microsoft.com/en-us/power-bi/developer/visuals/
https://appsource.microsoft.com/en-us/marketplace/apps?product=power-bi-visuals</t>
  </si>
  <si>
    <t>Official documentation:
https://tableau.github.io/extensions-api/
https://exchange.tableau.com/extensions</t>
  </si>
  <si>
    <t>No decisive winner. Power BI supports D3.js directly via the Custom Visual SDK (TypeScript-based) and offers a large AppSource marketplace of certified visuals. Tableau supports custom visuals via Dashboard Extensions API (JavaScript/D3) and Viz Extensions (newer, mark-level customization). Neither tool supports native Vega-Lite. Both are capable for custom chart needs — not a differentiating factor.</t>
  </si>
  <si>
    <t>Conditional formatting and dynamic visual properties</t>
  </si>
  <si>
    <t>P&amp;L reporting (#6d) requires variance/ratio conditional formatting in matrix layouts. Validate that conditional rules work on measures sourced from AtScale (not just on local calcs).</t>
  </si>
  <si>
    <t>Best-in-class for matrix conditional formatting. Background color, data bars, and icons applied independently per value column via native Format panel — no DAX or calculated fields needed for basic rules. Each value column (Variance $, Actual, Variance %) gets its own independent formatting. Field Parameters enable measure toggle natively with no formula wiring. Authoring time for all 4 capabilities: ~10 min.</t>
  </si>
  <si>
    <t>Capable but more manual setup required. Background color via calculated color field — applies row-level, not independently per column. No native data bars inside text table cells — bar chart workaround floated alongside is the closest approximation. Icons via Unicode calculated field; icon and number share the same cell color, cannot be independently styled. Measure toggle requires a Parameter plus a CASE calculated field. Authoring time for equivalent output: ~25-30 min.</t>
  </si>
  <si>
    <t>POC steps (Parquet-based — AtScale not yet available):
1. In Power BI Desktop: Get Data → Parquet, point at files in udi_data_gen\output\parquet\ (reported_sales.parquet, brand_targets.parquet, unit.parquet, brand.parquet, dimdate.parquet).
2. Build the model: relationships unit↔brand, reported_sales↔unit, brand_targets↔brand, all↔dimdate (calendar).
3. Create measures: [Actual Revenue], [Target Revenue], [Variance] = Actual − Target, [Variance %] = DIVIDE(Variance, Target).
4. Build a matrix visual with Brand and Unit on rows, period on columns; place Actual, Target, Variance, Variance % as values.
5. Apply conditional formatting: background color on Variance (red/green by sign), data bars on Actual, icons on Variance %. Validate cell-level granularity.
6. Add a field parameter to toggle the displayed measure between $ and % views.
7. Capture screenshots, authoring time, and any formatting gaps (null handling, large negatives, totals).
Caveat: this validates Power BI's native conditional formatting, NOT the AtScale pushdown behavior. Re-run row-7 (Live vs Import) once AtScale is available.</t>
  </si>
  <si>
    <t>POC steps (Parquet-based — AtScale not yet available):
1. In Tableau Desktop (2024.2+): use the Parquet file connector to load the same files from udi_data_gen\output\parquet\. If on an older Tableau version, convert Parquet → Hyper via Tableau Prep Builder or the Python Hyper API first.
2. Establish relationships in the Tableau data model: unit↔brand, reported_sales↔unit, brand_targets↔brand, all↔dimdate.
3. Create calculated fields: Actual, Target, Variance, Variance %.
4. Build an equivalent matrix using a text table with Brand and Unit on Rows, period on Columns; Measure Names/Values for the four measures.
5. Apply conditional color on Variance via calculated color field; use mark properties for data-bar-style and icon effects.
6. Use a parameter to toggle $ vs % display; bind via a calc field.
7. Record authoring time and document any cell-level formatting gaps relative to Power BI.
Caveat: this validates Tableau's native conditional formatting, NOT AtScale pushdown. Re-run row-7 (Live vs Extract) once AtScale is available.</t>
  </si>
  <si>
    <t>Power BI wins clearly. Power BI applies background color, data bars, and icons per-column per-cell through a native panel in approximately 10 minutes with no formula work. Tableau achieves comparable visual output but requires calculated fields for color (row-level only), a separate worksheet floated alongside for data bars, and Unicode characters for icons that cannot be independently colored from the number in the same cell. Tableau takes 2-3x the authoring time for the same result. Both tools are capable but TableAU require more manual effort</t>
  </si>
  <si>
    <t>Cross-filtering and drill-down/drill-through behavior</t>
  </si>
  <si>
    <t>Interactive dashboards (#6a) and P&amp;L drilldowns (#6d) rely on AtScale-defined hierarchies. Validate that drilldowns trigger correct MDX/SQL queries to AtScale and do not over-fetch.</t>
  </si>
  <si>
    <t>Automatic cross-filtering across all visuals on the same page with zero setup. Drill-through via right-click on any data point; filter context passed automatically; Back button auto-generated on the target page.</t>
  </si>
  <si>
    <t>Cross-filtering requires manual Filter Actions per source-target visual pair — not automatic. Drill-down expands hierarchy rows in place; the chart does not replace itself with the next level, need more developer effort to make it work dynamically. Drill-through needs an explicit Navigate Dashboard Action; no automatic back navigation.</t>
  </si>
  <si>
    <t>POC steps (Parquet-based):
1. Load reported_sales, brand, unit, dimdate, unit_ranking_base from udi_data_gen/output/parquet/. Filter to 2024.
2. Set relationships: ReportedSales to Brand, Unit, DimDate; UnitRanking to Unit and Brand.
3. Create measures: Total Net Sales, Prior Year Sales, YoY Change, YoY %.
4. Create hierarchy in Brand table: BrandName &gt; SBRName.
5. Build Brand Overview page: Brand slicer, 3 KPI cards, bar chart with Brand Hierarchy on Y-axis, line chart over time.
6. Cross-filter test: select a brand in slicer - all visuals update instantly with zero configuration.
7. Drill-down test: click the drill arrow on bar chart - chart replaces Brand bars with Unit bars for selected brand.
8. Build Unit Detail page: drag SBRName to Drill-through well; add FBC, Franchisee, Region table.
9. Drill-through test: right-click a unit bar &gt; Drill through &gt; Unit Detail. Verify context passed, Back button present.
Result: All 3 behaviors work out of the box. Power BI is the clear winner.</t>
  </si>
  <si>
    <t>POC steps (Parquet-based):
1. Load same files via Parquet connector; define relationships in logical layer.
2. Define Brand &gt; Unit hierarchy in Data pane: right-click BrandName &gt; Hierarchy, drag SBRName under it.
3. Build Revenue by Brand sheet (bar chart), Revenue Over Time sheet (line), 3 KPI text sheets.
4. Build Brand Overview dashboard; add a Brand quick filter.
5. Cross-filter: click filter icon on Revenue by Brand, OR configure Dashboard &gt; Actions &gt; Filter per pair. NOT automatic.
6. Drill-down: click + on hierarchy pill - brand expands to show unit rows in place. Chart does not replace itself.
7. Build Unit Detail sheet; configure Filter + Navigate Dashboard Action from bar chart to Unit Detail.
8. Drill-through: select unit bar &gt; navigate manually to Unit Detail sheet. No auto navigation, no Back button.
Result: Capable but every behavior requires manual wiring. Significantly more setup than Power BI.</t>
  </si>
  <si>
    <t>Power BI wins. All three behaviors — cross-filtering, drill-down, and drill-through — work out of the box with zero configuration in Power BI. Tableau requires a manual Dashboard Action for every source-target pair, hierarchy expansion behaves differently (rows grow rather than the chart replacing itself), and there is no automatic back navigation after drill-through. For GTF FBC dashboards where drilling Brand &gt; Unit &gt; Unit Detail is a daily workflow, Power BI reduces both authoring time and end-user friction significantly.</t>
  </si>
  <si>
    <t>Tooltip customization and rich interactivity</t>
  </si>
  <si>
    <t>Evaluate whether this tool capability exists natively or not supporting Report with User Input/Action (#6a)</t>
  </si>
  <si>
    <t>Report page tooltips: a dedicated tooltip page is authored, toggled as tooltip-type, and attached to the host visual. Fixed canvas size (320x240 px). Hover-only — cannot interact. Cannot mix free text and a viz in the same tooltip. Approx 20 min to author.</t>
  </si>
  <si>
    <t>Viz-in-Tooltip: embeds any existing worksheet into a tooltip via a single tag in the tooltip editor. Reuses sheets already built — no rebuild needed. Supports mixed text and viz in one editor. Canvas size is configurable. Approx 5 min if the source sheet already exists.</t>
  </si>
  <si>
    <t>Official documentation:
https://learn.microsoft.com/en-us/power-bi/create-reports/desktop-tooltips
https://learn.microsoft.com/en-us/power-bi/guidance/report-page-tooltips
POC: Build a Catering Revenue by Brand bar chart. Create a tooltip page with a monthly trend line and Top 5 Units table. Attach to the bar chart. Hover over a brand bar to verify the tooltip filters to that brand. Screenshot the tooltip appearing.</t>
  </si>
  <si>
    <t>Official documentation:
https://help.tableau.com/current/pro/desktop/en-us/viz_in_tooltip.htm
https://help.tableau.com/current/pro/desktop/en-us/view_parts.htm
POC: Build a Catering Revenue by Brand bar chart. Create a Tooltip_MonthlyTrend worksheet. On the main sheet click Marks &gt; Tooltip &gt; Insert &gt; Sheets &gt; Tooltip_MonthlyTrend with filter=yes. Hover over a brand bar to verify the embedded viz filters correctly. Screenshot the result.</t>
  </si>
  <si>
    <t>No decisive winner — this is not a differentiating factor for GTF. Both tools deliver comparable rich tooltips that filter to the hovered data point. Tableau is faster to author (reuses existing sheets, no dedicated page needed).  Neither tool has a meaningful advantage that would influence the selection decision.</t>
  </si>
  <si>
    <t>Dashboard layout flexibility (pixel-perfect vs. responsive grid)</t>
  </si>
  <si>
    <t>Executive ‘pretty’ dashboards (#6c) and P&amp;L matrix (#6d) need pixel control. Power BI is grid-based; Tableau is freeform — compare authoring effort for the same target layout.</t>
  </si>
  <si>
    <t>Grid-based canvas with snap-to-grid behavior. Pixel positioning available via Format &gt; General &gt; Properties (cm units) but no live pixel grid or coordinate input. Visual overlapping possible via Z-order (Bring to Front) but not intuitive to author. Mobile layout requires a completely separate canvas — desktop and mobile are maintained independently, any desktop change must be manually replicated in the mobile layout. Branded header achievable via shapes/rectangles. Good for operational reports; constrained for pixel-perfect executive dashboards.</t>
  </si>
  <si>
    <t>Clear winner for visual design and layout precision. Two layout modes: Tiled (snap-to-grid) and Floating (free-form pixel-exact). Layout panel provides exact X/Y/W/H in pixels for every floating object. Floating blank containers with background color enable branded header bands and color zones natively. Text objects can float over any visual (e.g., overlay a KPI on top of a map). Device Designer (desktop/tablet/phone) in one workbook - no duplication of work across device sizes. Authoring effort for a polished executive dashboard is noticeably lower than Power BI. Tableau wins for GTF executive scorecards and iPad-facing brand dashboards.</t>
  </si>
  <si>
    <t>POC steps (Parquet-based):
1. Load reported_sales, brand, unit, dimdate from udi_data_gen/output/parquet/. Set relationships.
2. Create measures: Total Net Sales, Prior Year Sales, YoY %, Active Units.
3. Build 4 visuals: KPI card, bar chart (Top 10 Brands), line chart (CY vs PY monthly), map (unit lat/long).
4. Attempt a branded header: Insert &gt; Shapes &gt; Rectangle across the top - observe snap-to-grid behavior.
5. Arrange visuals: try to align bar chart right edge with map left edge - observe grid snapping.
6. Attempt visual overlay: place a text card over the map via Z-order (Bring to Front) - observe effort required.
7. View &gt; Mobile layout - opens a separate canvas. Drag visuals to build the phone view.
8. Observe: any desktop layout change must be manually updated in the mobile canvas as well.
Result: Dashboard looks good but pixel-perfect design requires more manual effort; mobile layout is a separate maintenance burden.</t>
  </si>
  <si>
    <t>POC steps (Parquet-based):
1. Load same files via Parquet connector; define relationships in logical layer.
2. Create calculated fields: Total Net Sales, Prior Year Sales, YoY %, Active Units.
3. Build 4 worksheets: KPI text, bar chart (Top 10 Brands), line chart, map (lat/long, size = sales).
4. New Dashboard &gt; Fixed 1200x800 &gt; set Layout to Floating.
5. Drag Blank container to top full-width &gt; Format &gt; Background Color = brand color. Float Text object over it with title in white. Branded header done in 2 minutes.
6. Float each worksheet with exact X/Y/W/H from the Layout panel. Align precisely.
7. Float a Text object over the map showing Active Units count - native floating overlay.
8. Dashboard menu &gt; Device Layouts &gt; Add Phone &gt; Add Tablet - all 3 device sizes in one workbook.
Result: Executive scorecard polished and branded with precise positioning. Tableau is the clear winner.</t>
  </si>
  <si>
    <t>Tableau wins for dashboard layout and visual design quality. Tableau's floating layout mode provides pixel-exact X/Y/W/H positioning via the Layout panel, enabling branded header bands, overlapping text on maps, and polished executive scorecards that are impractical to author in Power BI. Device Designer (desktop/tablet/phone) is maintained in one workbook — Power BI requires a separate mobile canvas that must be updated independently. For GTF's executive brand scorecards and iPad-facing FBC dashboards, Tableau delivers a significantly higher visual quality output for the same authoring effort.</t>
  </si>
  <si>
    <t>Theming and branding consistency across reports</t>
  </si>
  <si>
    <t>Capable. JSON theme files (.json) define color palette, fonts, default visual styles, and background images. Themes apply across reports in an org. Built-in theme gallery + custom theme publishing. Strong support for org-wide brand standardization.</t>
  </si>
  <si>
    <t>Capable, less centralized. Workbook-level formatting (fonts, colors, lines, shading). Saved workbook templates serve as starting points. No native JSON-style theme files — branding consistency typically relies on style guides + template workbooks.</t>
  </si>
  <si>
    <t>Official documentation:
https://learn.microsoft.com/en-us/power-bi/create-reports/desktop-report-themes
https://learn.microsoft.com/en-us/power-bi/create-reports/desktop-report-themes#import-custom-report-themes</t>
  </si>
  <si>
    <t>Official documentation:
https://help.tableau.com/current/pro/desktop/en-us/formatting_workbook.htm
https://help.tableau.com/current/pro/desktop/en-us/save_savework_template.htm</t>
  </si>
  <si>
    <t>Power BI wins for enterprise-wide branding. Power BI's JSON theme files define color palette, fonts, and default visual styles and can be published org-wide so all reports inherit GTF's brand automatically. Tableau relies on template workbooks and style guides — branding is workbook-level, not centrally deployable. For a franchise brand like GTF with consistent brand standards across 20+ brands, Power BI's centralized theming is the stronger approach.</t>
  </si>
  <si>
    <t>Animation and transitions for storytelling</t>
  </si>
  <si>
    <t>Limited. Play Axis (animated scatter / bubble over time). Visual transitions on filter/slicer changes are minimal. Bookmark Navigator + Selection Pane enable a guided storytelling flow via bookmarks, but no dedicated 'story' authoring surface.</t>
  </si>
  <si>
    <t>Capable. Pages Shelf for animated time progression. 'Story Points' is a dedicated storytelling feature — sequence of slides with annotations, captions, and navigation. Mark Animations (since 2020.1) animate transitions between worksheet states. Strong for narrative dashboards.</t>
  </si>
  <si>
    <t>Official documentation:
https://learn.microsoft.com/en-us/power-bi/visuals/power-bi-visualization-scatter#add-play-axis
https://learn.microsoft.com/en-us/power-bi/create-reports/desktop-bookmarks</t>
  </si>
  <si>
    <t>Official documentation:
https://help.tableau.com/current/pro/desktop/en-us/story_create.htm
https://help.tableau.com/current/pro/desktop/en-us/formatting_animations.htm</t>
  </si>
  <si>
    <t>Tableau wins for storytelling and animation. Tableau's Story Points feature provides a dedicated narrative authoring surface — a sequence of slides with captions and annotations — with no equivalent in Power BI. Tableau's Pages Shelf and Mark Animations (since 2020.1) animate transitions between states. Power BI offers bookmarks for guided navigation and a Play Axis for time-animated scatter/bubble charts, but lacks a structured storytelling surface. For GTF QBR presentations or brand performance storytelling, Tableau has a clear advantage.</t>
  </si>
  <si>
    <t>Accessibility of visuals (screen reader compatibility, color-blind palettes)</t>
  </si>
  <si>
    <t>Capable. Screen reader support (Narrator, NVDA, JAWS) for most native visuals. Keyboard navigation built in. Accessibility Insights checker integration. Color-blind safe palettes available as built-in themes. Microsoft publishes WCAG 2.1 AA conformance reports.</t>
  </si>
  <si>
    <t>Capable. Screen reader support for published views on Tableau Server/Cloud (improved since 2019.2). Keyboard navigation. 'Color Blind 10' is one of the default color palettes. Tableau publishes VPAT (Voluntary Product Accessibility Template) and WCAG 2.1 AA conformance docs.</t>
  </si>
  <si>
    <t>Official documentation:
https://learn.microsoft.com/en-us/power-bi/create-reports/desktop-accessibility-overview
https://learn.microsoft.com/en-us/power-bi/create-reports/desktop-accessibility-creating-reports</t>
  </si>
  <si>
    <t>Official documentation:
https://help.tableau.com/current/pro/desktop/en-us/accessibility_overview.htm
https://www.tableau.com/about/legal/accessibility (VPAT)</t>
  </si>
  <si>
    <t>No decisive winner — both tools meet enterprise accessibility standards. Both support screen readers (Narrator/NVDA/JAWS for Power BI, server-side for Tableau), keyboard navigation, and WCAG 2.1 AA conformance with published documentation. Power BI has a slight edge: built-in Accessibility Insights checker and Microsoft's broad accessibility investment give it more consistent coverage across native visuals. Not a differentiating factor for GTF's selection decision.</t>
  </si>
  <si>
    <t>3. Governance, Security &amp; Compliance</t>
  </si>
  <si>
    <t>Role-based access control (RBAC) at report, dataset, and workspace level</t>
  </si>
  <si>
    <t>Maps to #3 + #4. Validate that AtScale roles + BI-tool workspace roles compose cleanly without role duplication or privilege escalation.</t>
  </si>
  <si>
    <t>Capable. Four fixed workspace roles: Admin (full control), Member (edit + publish app), Contributor (edit, no app publish), Viewer (read-only). Roles assigned to Entra users/groups.
App Audiences: one App can show different content tabs to different Entra groups — functional RBAC at the consumer layer.
Object Level Security (OLS): restricts tables/columns from appearing in reports; configured via Tabular Editor. Tenant Admin Settings: global toggles (e.g., who can publish to web, export data, use Q&amp;A) managed in the Admin Portal.
Limitation: only 4 fixed roles per workspace — no custom-permission granularity at the workspace level. Governance hierarchy is flat (workspaces are peers, not nested).</t>
  </si>
  <si>
    <t>Capable. Capability-based permission model at site/project/workbook/view/data-source level. Site roles (Creator, Explorer, ExplorerCanPublish, Viewer, SiteAdminCreator, ServerAdmin) set the ceiling; project-level capabilities further restrict or grant individual actions (View, Filter, Download, Web Edit, Overwrite, etc.).
Project Leader role: delegated admin over a project and all nested sub-projects — enables distributed governance without full Server/Site Admin access.
Permission inheritance: projects can be locked (enforce inheritance) or unlocked (per-item overrides). Finer-grained than Power BI's four fixed roles.
Limitation: more complex to set up and audit than Power BI's simpler role model; no native OLS equivalent for column/table hiding.</t>
  </si>
  <si>
    <t>Official documentation:
https://learn.microsoft.com/en-us/power-bi/collaborate-share/service-roles-new-workspaces
https://learn.microsoft.com/en-us/power-bi/enterprise/service-admin-object-level-security
https://learn.microsoft.com/en-us/power-bi/collaborate-share/service-create-distribute-apps#create-and-manage-multiple-audiences</t>
  </si>
  <si>
    <t>Official documentation:
https://help.tableau.com/current/server/en-us/permissions.htm
https://help.tableau.com/current/server/en-us/permissions_capabilities.htm
https://help.tableau.com/current/server/en-us/projects.htm#lock</t>
  </si>
  <si>
    <t>Tie with context-dependent advantage.
Power BI: simpler 4-role model, easier to administer at scale; OLS for column/table restriction is a genuine extra Tableau lacks. Entra group assignment is seamless for Microsoft orgs.
Tableau: more granular capability-based permissions + nested project hierarchy = better for complex, multi-team governance structures.
For GTF (franchise hierarchy, territory managers, corporate): Tableau's nested project structure maps more naturally to the org chart, but Power BI's OLS + Entra groups cover the GTF security requirements more simply.
Advantage: TIE — Power BI simpler; Tableau more granular.</t>
  </si>
  <si>
    <t>Row-level security (RLS) and column-level security (CLS)</t>
  </si>
  <si>
    <t>CRITICAL — does franchise-level RLS defined at the AtScale layer propagate end-to-end to Tableau/Power BI users without re-implementation? Test the franchise-filtering scenario from #4 in both tools.</t>
  </si>
  <si>
    <t>Best-in-class for enterprise RLS without add-on cost.
Dynamic RLS: DAX filter using USERPRINCIPALNAME() against a security/bridge table — scales to thousands of franchise users with one role definition. Static roles for fixed group mappings.
Object Level Security (OLS): restricts specific tables or columns — unavailable users see an error on access attempt. OLS configured via Tabular Editor (no native Desktop UI).
Test with 'View as role' or 'View as other user' in Power BI Service.
AtScale path: if RLS is enforced in AtScale (recommended), Power BI passes user identity via SSO/Kerberos delegation; no double-filter needed. RLS in the semantic model inherits by all connecting reports automatically.
Included in Pro license — no add-on required.</t>
  </si>
  <si>
    <t>Capable but centralized RLS requires a paid add-on.
Four approaches: (1) User filters (manual UI, small lists only); (2) Calculated-field RLS with USERNAME()/ISMEMBEROF() as a data source filter; (3) Entitlement-table RLS (username → franchise value join); (4) Virtual Connections + Data Policies — centralized RLS defined once, enforced on all downstream content.
Data Policies (approach 4) require the Data Management add-on (separate license cost).
Column-level security: no clean CLS equivalent to Power BI's OLS. Can hide columns in published data source, but no error-on-access enforcement.
AtScale path: push RLS to AtScale's own policy engine; Tableau queries AtScale with user context. Avoid double-filtering.</t>
  </si>
  <si>
    <t>Official documentation:
https://learn.microsoft.com/en-us/power-bi/enterprise/service-admin-rls
https://learn.microsoft.com/en-us/power-bi/enterprise/service-admin-object-level-security
https://learn.microsoft.com/en-us/power-bi/connect-data/desktop-dynamic-m-query-parameters</t>
  </si>
  <si>
    <t>Official documentation:
https://help.tableau.com/current/server/en-us/rls_options_overview.htm
https://help.tableau.com/current/server/en-us/dm_vconn_overview.htm
https://help.tableau.com/current/server/en-us/data_policy.htm</t>
  </si>
  <si>
    <t>Power BI wins for GTF use case.
Power BI dynamic RLS is included in Pro, highly tested, and works end-to-end with Entra SSO — franchise filtering via USERPRINCIPALNAME() against a franchise-user bridge table is a standard enterprise pattern. OLS adds column-level security Tableau cannot match natively.
Tableau's strongest centralized RLS (Virtual Connections + Data Policies) requires purchasing the Data Management add-on, adding cost for what Power BI delivers out-of-the-box.
For GTF with 750+ franchise users needing per-territory row filtering: Power BI is more cost-efficient and simpler to maintain.
Advantage: POWER BI — native RLS + OLS included in Pro; no additional license needed.</t>
  </si>
  <si>
    <t>Single Sign-On (SSO) integration (SAML, OIDC, Azure AD, Okta)</t>
  </si>
  <si>
    <t>Maps to #1. Validate the full Azure AD/Entra ID flow: user → BI tool → AtScale, with the user identity passed through (not via service principal), so RLS works.</t>
  </si>
  <si>
    <t>Best-in-class for Azure AD / Entra ID shops.
Power BI Service is built on Microsoft Entra ID — SSO is intrinsic, not a bolt-on. Any user signed into Microsoft 365 is automatically authenticated to Power BI with no additional setup. MFA and Conditional Access policies (device compliance, location, session controls) apply to Power BI Service automatically via Entra.
SCIM-free: Entra groups are directly assignable to workspace roles, app audiences, and RLS roles — no provisioning pipeline required.
Service principals: Entra app registrations used for automation/embedded scenarios (no MFA prompt, no password expiry).
OIDC external MFA (2025): third-party MFA providers supported alongside Conditional Access.</t>
  </si>
  <si>
    <t>Capable but requires explicit setup.
Tableau Cloud and Server both support SAML 2.0 and OpenID Connect (OIDC) with Entra ID as IdP, plus SCIM 2.0 for user/group provisioning. MFA is enforced via Entra Conditional Access (delegated — Tableau itself has no built-in MFA).
Tableau Cloud: use the 'Tableau Cloud' app from the Entra enterprise-apps gallery; exchange SAML metadata XML. Tableau Server: requires valid SHA-2 SSL certificate first; configured via TSM.
Multiple auth configurations per site (2024.3+): up to 18-20 auth methods on one site. SAML attribute assertions feed Tableau user-attribute functions (2025.3+).
Limitation: no native Entra group support in permissions — groups must be synced via SCIM first.</t>
  </si>
  <si>
    <t>Official documentation:
https://learn.microsoft.com/en-us/power-bi/enterprise/service-admin-azure-ad-b2b
https://learn.microsoft.com/en-us/entra/identity/conditional-access/concept-conditional-access-cloud-apps
https://learn.microsoft.com/en-us/power-bi/enterprise/service-premium-service-principal</t>
  </si>
  <si>
    <t>Official documentation:
https://help.tableau.com/current/online/en-us/saml_config_azure_ad.htm
https://help.tableau.com/current/online/en-us/scim_config_azure_ad.htm
https://help.tableau.com/current/server/en-us/saml_config_steps_tsm.htm</t>
  </si>
  <si>
    <t>Power BI wins decisively for Azure AD / Microsoft-centric organisations.
Power BI's Entra ID integration is zero-configuration — SSO, MFA, and Conditional Access work automatically for any M365 tenant. Tableau requires explicit SAML/OIDC setup, SCIM provisioning, and certificate management (for Server).
GTF is a Microsoft shop (Azure EDW, ADF, Databricks on Azure) — Power BI's native Entra integration means SSO just works, with no ongoing IdP configuration maintenance.
Advantage: POWER BI — intrinsic SSO/MFA for Entra tenants; Tableau requires explicit SAML setup and ongoing maintenance.</t>
  </si>
  <si>
    <t>Data classification and sensitivity label enforcement</t>
  </si>
  <si>
    <t>Compliance certifications held by vendor (SOC 2, ISO 27001, HIPAA, FedRAMP, GDPR)</t>
  </si>
  <si>
    <t>Data residency and sovereignty controls</t>
  </si>
  <si>
    <t>Tenant-level isolation in multi-tenant deployments</t>
  </si>
  <si>
    <t>Single-tenant internal deployment. No AtScale-specific angle — evaluate as native tool capability via vendor documentation.</t>
  </si>
  <si>
    <t>Policy enforcement for sharing (prevent external sharing, download restrictions)</t>
  </si>
  <si>
    <t>Franchise data leakage is a real risk. Validate share-restriction policies and download controls in both tools — particularly for paginated/export workflows.</t>
  </si>
  <si>
    <t>Encryption at rest and in transit</t>
  </si>
  <si>
    <t>Periodic access reviews and certification workflows</t>
  </si>
  <si>
    <t>Likely managed at Azure AD layer, not the BI tool. No AtScale-specific angle — evaluate as native tool capability via vendor documentation.</t>
  </si>
  <si>
    <t>4. Performance &amp; Scalability</t>
  </si>
  <si>
    <t>Query response time under concurrent user load (SLA benchmarks)</t>
  </si>
  <si>
    <t>Initial AtScale test was a one-shot signal. Extend to multi-user concurrent load against AtScale via each BI tool, with realistic franchise-scoped queries.</t>
  </si>
  <si>
    <t>Performance varies significantly by connection mode.
Import mode (VertiPaq): sub-100ms typical for well-modeled datasets; engine is columnar in-memory — most interactive queries return near-instantaneously. Premium dedicated capacity eliminates shared-resource contention.
DirectQuery / Live to AtScale: performance is governed by AtScale's autonomous aggregate engine. AtScale's in-memory aggregates deliver near-import speed for common query patterns; cold queries against Databricks may take 2-10s.
Diagnostics: Performance Analyzer (Desktop) shows per-visual query time; DAX Studio for server-side traces; Fabric Capacity Metrics for throughput/throttling.
Concurrency: Premium capacity scales via CU allocation; shared capacity throttles above a query concurrency ceiling. Dedicated capacity is required for guaranteed SLAs at 100+ concurrent users.</t>
  </si>
  <si>
    <t>Performance depends on extract vs live and underlying source.
Extract (Hyper engine): sub-second for most analytical queries on millions of rows; Hyper is a high-performance in-process columnar engine. Reliable SLA for dashboards built on extracts.
Live to AtScale: same AtScale aggregate benefits as Power BI; Tableau fires SQL against AtScale — performance is comparable once AtScale aggregates warm.
Diagnostics: Performance Recording (Help &gt; Settings and Performance &gt; Start Performance Recording) captures per-sheet query time and SQL; Tableau Server Admin Views show workbook load times across users.
Concurrency: Tableau Cloud autoscales; Tableau Server capacity is fixed to licensed cores — plan for peak concurrent sessions in sizing.</t>
  </si>
  <si>
    <t>Official documentation:
https://learn.microsoft.com/en-us/power-bi/guidance/power-bi-optimization
https://learn.microsoft.com/en-us/power-bi/create-reports/desktop-performance-analyzer
https://learn.microsoft.com/en-us/fabric/enterprise/metrics-app</t>
  </si>
  <si>
    <t>Official documentation:
https://help.tableau.com/current/server/en-us/perf_collect_server_repo.htm
https://help.tableau.com/current/pro/desktop/en-us/perf_record_create_desktop.htm
https://help.tableau.com/current/server/en-us/adminview_stats_load_time.htm</t>
  </si>
  <si>
    <t>Tie for the GTF/AtScale architecture.
Both tools connect live to AtScale and benefit equally from AtScale's autonomous aggregates — the semantic layer, not the BI tool, determines query speed for common operational reports. For Power BI's Import-mode workloads (non-AtScale sources), VertiPaq delivers consistently faster queries than Tableau's live equivalent.
Premium dedicated capacity gives Power BI more predictable SLA guarantees at high concurrency; Tableau Cloud autoscales but at unpredictable cost.
Advantage: TIE on AtScale path; Power BI edge for Import-mode non-AtScale sources.</t>
  </si>
  <si>
    <t>Dataset size limits (row count, in-memory vs. DirectQuery thresholds)</t>
  </si>
  <si>
    <t>Catering detail (#7) drives this. Validate row-limit behavior of each tool when querying AtScale — does it stream, paginate, truncate, or error? Power BI DirectQuery row limits vs Tableau live connection behavior.</t>
  </si>
  <si>
    <t>Size limits depend heavily on licensing tier.
Import mode: 1 GB model limit on Pro (shared capacity); up to 400 GB on Premium P1 / Fabric F64 (large dataset storage). Model is compressed in-memory — a 400 GB uncompressed dataset may compress to 50-100 GB in VertiPaq.
DirectQuery / Live to AtScale: no model size limit — the semantic model lives in AtScale; Power BI stores only the schema and rendering layer.
Fabric: large dataset storage mode allows models beyond the in-memory RAM ceiling using SSD spill; upper bound scales with Fabric capacity purchased.
Row limits: no enforced row cap in Import within the size ceiling; VertiPaq compression handles billions of rows if memory allows.</t>
  </si>
  <si>
    <t>Extract (Hyper engine) has no enforced row limit.
Hyper engine handles 100M+ row extracts in production environments; practical ceiling is disk and RAM on the Tableau Server/Cloud hosting. Tableau Cloud storage quota: 100 GB per site (Basic), 500 GB (Enterprise/Tableau+).
Live to AtScale: no extract size limit — all data stays in AtScale; Tableau renders results from live queries.
Column limit: no strict column cap in Hyper; wide tables (500+ columns) can degrade performance.
For GTF's ~118M row synthetic dataset: Hyper extract is viable; Live to AtScale is the recommended production pattern.</t>
  </si>
  <si>
    <t>Official documentation:
https://learn.microsoft.com/en-us/power-bi/enterprise/service-premium-large-models
https://learn.microsoft.com/en-us/power-bi/fundamentals/service-features-license-type
https://learn.microsoft.com/en-us/power-bi/connect-data/service-dataset-modes-understand</t>
  </si>
  <si>
    <t>Official documentation:
https://help.tableau.com/current/pro/desktop/en-us/extracting_data.htm
https://help.tableau.com/current/online/en-us/to_site_storage.htm
https://help.tableau.com/current/pro/desktop/en-us/hyper_overview.htm</t>
  </si>
  <si>
    <t>Tableau edge for raw volume without license constraints.
Power BI Import mode size limits are license-tiered (1 GB on Pro — unusable for GTF's dataset; 400 GB on Premium). For GTF, Premium/Fabric is required to handle the full dataset in Import mode — an additional cost gate.
Tableau Hyper extract has no enforced row limit and can handle GTF's 118M row dataset on Basic Cloud storage.
However, for the production AtScale architecture, both tools use Live Connection — dataset size limits become irrelevant as data never leaves AtScale.
Advantage: TABLEAU for extract-based workloads without Premium licensing; TIE on AtScale Live path.</t>
  </si>
  <si>
    <t>Aggregation and caching strategies (pre-aggregation, query caching, dual mode)</t>
  </si>
  <si>
    <t>CRITICAL — how does each BI tool's cache interact with AtScale's pre-aggregations? Does the tool defer aggregation to AtScale or duplicate it locally (defeating AtScale's purpose)?</t>
  </si>
  <si>
    <t>Rich native aggregation framework — strongest in the market.
VertiPaq in-memory engine: automatic columnar compression and bitmap indexes — most aggregations execute in-engine at microsecond speed.
Aggregation tables: define a pre-aggregated summary table in the model; Power BI routes matching queries to it transparently (no report change needed). Dual storage mode: aggregation table in-memory, detail table in DirectQuery.
Service-level caching: Power BI Service caches query results per filter state — identical queries from different users hit cache, not the source.
With AtScale: AtScale provides its own autonomous aggregate engine (in-memory + Databricks push). Power BI's VertiPaq adds a second caching layer on top — effectively two-level caching for Import-connected models.</t>
  </si>
  <si>
    <t>Caching through Hyper extract + AtScale aggregates.
Hyper extract is itself a pre-aggregated columnar cache — Tableau materializes the dataset locally, and Hyper executes queries against this in-memory/on-disk store at high speed.
Live connection to AtScale: no local Hyper cache; all aggregation happens in AtScale. Tableau passes SQL GROUP BY queries to AtScale; AtScale's aggregate store handles them.
Context filters: Tableau materializes a temp table for the first large-reduction filter — acts as a session-level cache for that query subset.
No equivalent to Power BI's Aggregation Tables or Service query-result cache. Tableau performance tuning relies more on data source optimization and AtScale than on BI-layer caching.</t>
  </si>
  <si>
    <t>Official documentation:
https://learn.microsoft.com/en-us/power-bi/transform-model/aggregations-advanced
https://learn.microsoft.com/en-us/power-bi/enterprise/service-premium-incremental-refresh
https://learn.microsoft.com/en-us/power-bi/connect-data/desktop-storage-mode</t>
  </si>
  <si>
    <t>Official documentation:
https://help.tableau.com/current/pro/desktop/en-us/extracting_data.htm
https://help.tableau.com/current/pro/desktop/en-us/data_extract_faq.htm
https://help.tableau.com/current/pro/desktop/en-us/filtering_context_overview.htm</t>
  </si>
  <si>
    <t>Power BI edge for multi-layer caching architecture.
Power BI offers Aggregation Tables (BI-layer pre-agg), VertiPaq in-memory compression, and Service query-result caching — three independent caching mechanisms. Tableau relies on Hyper extracts (good for static snapshots) and passes aggregation responsibility to AtScale for live connections.
For GTF/AtScale architecture: AtScale's autonomous aggregates are the primary performance layer for both tools — the BI-layer caching difference narrows on the live path. Power BI's Aggregation Tables remain relevant for any non-AtScale Import-mode models.
Advantage: POWER BI for BI-layer caching sophistication; TIE on AtScale live architecture.</t>
  </si>
  <si>
    <t>Horizontal scaling capability for large deployments</t>
  </si>
  <si>
    <t>Relevant only for Tableau Server self-hosted (capacity nodes) and Power BI Premium (capacity SKUs). Sizing model differs sharply — validate against franchise concurrency profile.</t>
  </si>
  <si>
    <t>Performance profiling and query diagnostics tooling</t>
  </si>
  <si>
    <t>When a P&amp;L is slow, can you trace from BI-tool query → AtScale query plan → underlying source? Validate observability across the AtScale boundary in both tools.</t>
  </si>
  <si>
    <t>Handling of high-cardinality dimensions</t>
  </si>
  <si>
    <t>Franchise × product × date combinations create high cardinality. Test slicer/filter UX and rendering performance at realistic cardinality.</t>
  </si>
  <si>
    <t>Handles high cardinality well in Import mode via VertiPaq dictionary encoding.
VertiPaq compresses high-cardinality string columns using hash encoding + bitmaps — millions of distinct values are manageable within the model size ceiling. Example: a franchise_id or customer_id dimension with 10M distinct values compresses significantly vs raw storage.
DirectQuery: high cardinality impacts join pushdown; CROSSJOIN or high-cardinality slicer selections can generate slow multi-value IN clauses sent to the source. Use query reduction settings (add Apply button) to defer query firing.
RLS scaling: dynamic RLS on very-high-cardinality security columns (e.g., 1M+ user→row mappings) can degrade; AtScale-side enforcement is more scalable for those patterns.</t>
  </si>
  <si>
    <t>Handles high cardinality well in Hyper extract mode.
Hyper engine uses columnar storage with dictionary encoding — high-cardinality dimensions (millions of distinct values) are efficiently stored and queried. No enforced cardinality ceiling.
Live to AtScale: cardinality is managed by AtScale and the underlying Databricks store; Tableau passes the query and renders the result. No Tableau-side cardinality limit.
LOD expressions and high cardinality: FIXED LODs can cause cardinality explosion if the dimension key in the FIXED expression is very high-cardinality — produces a large intermediate result set before re-aggregating. Design LOD expressions carefully on high-cardinality keys.</t>
  </si>
  <si>
    <t>Official documentation:
https://learn.microsoft.com/en-us/power-bi/guidance/star-schema
https://learn.microsoft.com/en-us/power-bi/connect-data/directquery-troubleshoot
https://learn.microsoft.com/en-us/power-bi/guidance/power-bi-optimization#high-cardinality-columns</t>
  </si>
  <si>
    <t>Official documentation:
https://help.tableau.com/current/pro/desktop/en-us/extracting_data.htm
https://help.tableau.com/current/pro/desktop/en-us/calculations_calculatedfields_lod.htm
https://www.tableau.com/about/blog/2019/3/hyper-performance</t>
  </si>
  <si>
    <t>Tie — both handle high cardinality within their respective engines.
Power BI VertiPaq and Tableau Hyper both use columnar dictionary encoding and handle millions of distinct values efficiently in cached/extract mode. DirectQuery/Live behavior is governed primarily by AtScale and Databricks, not the BI tool.
Key watch-out for Tableau: poorly designed LOD expressions on high-cardinality keys can cause query fan-out; DAX CROSSJOIN in Power BI has the same risk. Both require deliberate data modeling.
Advantage: TIE — cardinality handling is equivalent for the GTF/AtScale architecture.</t>
  </si>
  <si>
    <t>Scheduled refresh frequency limits and concurrency</t>
  </si>
  <si>
    <t>Maps to #2. Since AtScale is live, ‘refresh’ here means metadata refresh + any imported datasets. Validate concurrency limits per license tier.</t>
  </si>
  <si>
    <t>Refresh frequency is license-tiered — a meaningful constraint on Pro.
Pro (shared capacity): maximum 8 scheduled refreshes per day per dataset. Premium Per User / Premium capacity / Fabric: maximum 48 refreshes per day.
XMLA endpoint (Premium): programmatic refresh via TMSL/TOM with no daily-count ceiling — enables hourly or event-driven refresh patterns.
Incremental refresh: reduces refresh time by only processing recent partitions; pairs with near-real-time hybrid table on Premium for last N minutes of live data.
Concurrency: up to 6 active refreshes simultaneously per Premium capacity node; shared capacity limits concurrent refreshes more aggressively.</t>
  </si>
  <si>
    <t>No enforced daily refresh count ceiling.
Tableau Server: fully configurable refresh schedules (minutes, hours, days, weeks, monthly) with no enforced count cap. Administrator sets schedule frequency.
Tableau Cloud: minimum extract refresh interval is 15 minutes (no sub-15-min extract refresh). Live connections refresh on user interaction, not on a clock — no refresh scheduling needed for live.
Tableau Bridge: 10 concurrent extract refreshes per Bridge client (tunable); pool multiple clients for higher concurrency.
Incremental refresh: append-based (new rows since last key value); less sophisticated than Power BI's partition-based approach but covers the common case.</t>
  </si>
  <si>
    <t>Official documentation:
https://learn.microsoft.com/en-us/power-bi/connect-data/refresh-scheduled-refresh
https://learn.microsoft.com/en-us/power-bi/enterprise/service-premium-incremental-refresh
https://learn.microsoft.com/en-us/analysis-services/xmla/xml-elements-methods-execute</t>
  </si>
  <si>
    <t>Official documentation:
https://help.tableau.com/current/online/en-us/schedule_add.htm
https://help.tableau.com/current/online/en-us/to_keep_data_fresh.htm
https://help.tableau.com/current/server/en-us/schedule_manage_extract.htm</t>
  </si>
  <si>
    <t>Tableau wins on scheduling flexibility; moot for AtScale live architecture.
Power BI's 8-refresh/day cap on Pro is a hard operational constraint for high-frequency data — requires Premium to reach 48/day or XMLA for programmatic refresh. Tableau has no equivalent daily cap.
However, for GTF's AtScale architecture: both tools use Live Connection to AtScale, which eliminates extract refresh scheduling entirely. AtScale manages its own aggregate refresh against Databricks — the BI tool does not schedule refreshes.
Advantage: TABLEAU for extract-based workloads; TIE for AtScale live architecture where refresh scheduling is irrelevant.</t>
  </si>
  <si>
    <t>Impact of complex calculations on render time</t>
  </si>
  <si>
    <t>P&amp;L variance, ratio, YoY calculations may run in AtScale or in the BI tool. Validate where each calc lives and the render-time tradeoff.</t>
  </si>
  <si>
    <t>DAX in Import mode is extremely fast for complex business logic.
VertiPaq executes DAX filter context evaluations in-engine; well-written measures (CALCULATE, SWITCH, DIVIDE) return in milliseconds even with complex hierarchies. Calculation Groups (via Tabular Editor) reuse time-intelligence logic across all measures without measure proliferation.
Complex iterators (SUMX over many rows, CROSSJOIN of large tables) are the main performance risk — identify with DAX Studio's Server Timings trace.
DirectQuery path: each DAX measure translates to a SQL query against AtScale; complex DAX with many CALCULATE transitions can generate verbose SQL — risk of slow renders on deeply nested calculations.</t>
  </si>
  <si>
    <t>Tableau calculated fields compile at query time.
Simple calculated fields (arithmetic, string, date) add minimal overhead. LOD expressions (FIXED, INCLUDE, EXCLUDE) generate nested sub-queries — FIXED LOD on a high-cardinality key against a live source can be slow.
Context filters + LOD combinations: multiple context filters compounded with LOD calcs can cause exponential query fan-out on live connections. Use Performance Recording to identify the offending calculation.
With AtScale: Tableau passes SQL + computed expressions to AtScale; AtScale's query optimizer handles most standard aggregations. Complex Tableau calcs that cannot push down to SQL execute in Tableau's query engine — potential bottleneck for intricate calculated fields.</t>
  </si>
  <si>
    <t>Official documentation:
https://learn.microsoft.com/en-us/power-bi/guidance/dax-variables
https://learn.microsoft.com/en-us/power-bi/guidance/directquery-model-guidance
https://daxstudio.org/ (free tool — use Server Timings to profile DAX)</t>
  </si>
  <si>
    <t>Official documentation:
https://help.tableau.com/current/pro/desktop/en-us/calculations_calculatedfields_lod.htm
https://help.tableau.com/current/pro/desktop/en-us/perf_record_create_desktop.htm
https://help.tableau.com/current/pro/desktop/en-us/filtering_context_overview.htm</t>
  </si>
  <si>
    <t>Power BI edge for complex financial business logic.
DAX in VertiPaq (Import mode) handles deeply nested financial calculations — time intelligence, parent-child hierarchies, rolling averages — fast and elegantly, especially with Calculation Groups. Tableau's LOD expressions are powerful for analytical patterns but require careful design to avoid slow sub-query fan-out on live sources.
For GTF P&amp;L reporting with many derived measures (Variance %, MTD, YTD, Prior Year): DAX is better suited and better documented for this pattern.
Advantage: POWER BI for complex financial calculations; TABLEAU holds ground for analytical/exploratory LOD patterns.</t>
  </si>
  <si>
    <t>CDN support for global report distribution</t>
  </si>
  <si>
    <t>Internal franchise audience, likely regional. No AtScale-specific angle — evaluate as native tool capability via vendor documentation.</t>
  </si>
  <si>
    <t>Load testing support and documented capacity planning models</t>
  </si>
  <si>
    <t>Validate vendor-published sizing guides for AtScale-fronted workloads (not just generic).</t>
  </si>
  <si>
    <t>5. Collaboration &amp; Sharing</t>
  </si>
  <si>
    <t>Workspace or project-based collaboration with role assignments</t>
  </si>
  <si>
    <t>Maps to #3. Compare Power BI App/Workspace hierarchy vs Tableau Project/Site/Collection — which maps cleanly to franchise grouping (one franchise = one project? one site?).
Clarifying questions:
  • What is GTF's franchise org structure — flat or hierarchical (region → franchise → store)?
  • How many franchises are expected at go-live and 3 years out?
  • Are franchises grouped by region, brand, or another dimension?
  • Preferred isolation model — one workspace per franchise, or shared workspace with RLS?</t>
  </si>
  <si>
    <t>Capable. Workspaces are collaboration containers: Admin, Member, Contributor, Viewer roles. Multiple users/groups share content in a workspace during development.
Git integration (GA 2024+): connect workspace to Azure DevOps/GitHub branch — commit/pull from within the Power BI Service UI. Supports parallel development branches.
Deployment pipelines (Premium/Fabric): Dev → Test → Prod promotion with automated content moving, data-source rule overrides per stage, and deployment comparisons.
Org Apps: packaged consumer experience published from workspace; audiences control which groups see which tabs.
Limitation: flat hierarchy — workspaces are peers with no nesting; complex orgs (e.g., multi-brand, multi-territory) must manage many peer workspaces.</t>
  </si>
  <si>
    <t>Capable. Projects are nested containers with role-based access; support sub-projects for folder-like hierarchy. Project Leader role enables delegated governance without Server Admin.
Content can be developed and tested in separate dev/test projects or sites; the Content Migration Tool moves content between projects/sites/servers.
No native Git integration — third-party tools (Broadcom Catalyst Tableau Extension) provide version control; revision history in Server/Cloud is the built-in fallback (last N versions per workbook).
No deployment pipeline equivalent — teams use separate projects (dev/prod) or sites (strict isolation) as the promotion mechanism.</t>
  </si>
  <si>
    <t>Official documentation:
https://learn.microsoft.com/en-us/power-bi/collaborate-share/service-new-workspaces
https://learn.microsoft.com/en-us/power-bi/developer/projects/projects-git
https://learn.microsoft.com/en-us/power-bi/create-reports/deployment-pipelines-overview</t>
  </si>
  <si>
    <t>Official documentation:
https://help.tableau.com/current/server/en-us/projects.htm
https://help.tableau.com/current/server/en-us/projects_admin.htm
https://help.tableau.com/current/server/en-us/cmt-intro.htm</t>
  </si>
  <si>
    <t>Tie with tool-specific strengths.
Power BI: cleaner Git integration (native, GA), deployment pipelines for structured promotion, and App-based consumer packaging — better for teams with DevOps discipline. Limitation: flat workspace hierarchy.
Tableau: better for hierarchical governance (nested projects, Project Leader delegation), more granular content permissions. Limitation: no native Git, no deployment pipeline.
For GTF: Power BI's deployment pipelines (Dev → Test → Prod) directly support the phased delivery approach; Git integration enables parallel brand-team development.
Advantage: POWER BI for DevOps/pipeline workflows; TABLEAU for hierarchical governance.</t>
  </si>
  <si>
    <t>Report commenting and annotation features</t>
  </si>
  <si>
    <t>Sharing via link, embed, or direct user assignment</t>
  </si>
  <si>
    <t>Maps to #3. Validate share-by-link with Azure AD enforcement — links must not bypass RLS or franchise scoping.</t>
  </si>
  <si>
    <t>Multiple sharing mechanisms available.
Share link: generates a read-only report link for internal org users (Entra-authenticated); optional per-user permission grant included. Links respect report-level RLS.
Per-item sharing: share specific reports or semantic models to individual users/groups without workspace access.
Embed: Power BI Embedded (for ISV/custom portals), SharePoint Online web part (native), Teams tab/meeting app (native), website embed with iframe + Entra token.
App sharing: publish App to specific Entra groups — cleanest enterprise consumer model.
Power BI Embedded (A-SKU or Fabric): full API control for white-label portals; 'embed for your customers' (service principal auth) for external users without Power BI licenses.</t>
  </si>
  <si>
    <t>Multiple sharing mechanisms available.
Share link: Tableau Cloud/Server generates authenticated links; recipient must have a Tableau license.
Per-content sharing: assign permission to individual users/groups at workbook, view, or data-source level.
Embed: Tableau Embedded Analytics (JavaScript API v2/v3) for custom portals; iframe embed for simple use cases. OAuth SSO for embedded user identity pass-through.
Guest/External: Tableau Cloud supports guest access for Viewer-licensed users from external Entra tenants via Connected Apps.
Teams: embed via iframe or Tableau for Microsoft Teams connector (not as native as Power BI Teams integration). SharePoint: no native web part — use iframe or Tableau for SharePoint extension.</t>
  </si>
  <si>
    <t>Official documentation:
https://learn.microsoft.com/en-us/power-bi/collaborate-share/service-share-reports
https://learn.microsoft.com/en-us/power-bi/collaborate-share/service-embed-secure
https://learn.microsoft.com/en-us/power-bi/developer/embedded/embedded-analytics-power-bi</t>
  </si>
  <si>
    <t>Official documentation:
https://help.tableau.com/current/api/embedding_api/en-us/index.html
https://help.tableau.com/current/server/en-us/permissions.htm
https://help.tableau.com/current/online/en-us/connected_apps.htm</t>
  </si>
  <si>
    <t>Power BI wins for Microsoft ecosystem sharing.
SharePoint native web part and Teams native tab/bot are zero-config for M365 orgs — no iframe wrangling. GTF already uses Microsoft 365, making Power BI the path of least resistance for sharing into Teams channels and SharePoint intranet portals.
Tableau's embedded analytics API is more powerful for custom-portal scenarios but requires developer build time and a Connected App configuration.
Both cover standard link-share and user-assignment patterns adequately.
Advantage: POWER BI for M365-ecosystem sharing (Teams, SharePoint); TIE for custom embedded analytics portals.</t>
  </si>
  <si>
    <t>External user sharing (guest/B2B access)</t>
  </si>
  <si>
    <t>If franchisees are guest tenants in Azure AD, validate the B2B flow end-to-end (login + RLS) and check per-guest license cost in both tools.
Clarifying questions:
  • Are franchisees GTF employees (internal Azure AD) or independent operators (external/B2B identities)?
  • Expected count of external/B2B users at go-live and 3 years out?
  • Any IT/security policy that prevents Azure AD guest invitations?</t>
  </si>
  <si>
    <t>Subscription and snapshot sharing (static vs. live)</t>
  </si>
  <si>
    <t>Maps to #8. Validate franchise-filtered snapshot delivery — each tool's subscription model must support per-recipient parameter values.</t>
  </si>
  <si>
    <t>Strong — most capable subscription system in the comparison.
Standard subscriptions: schedule email delivery of report page as PDF/PPTX/PNG snapshot; configure per page, per recipient group, with conditional send ('Only send if data changed').
Dynamic per-recipient subscriptions (Premium/Fabric): one subscription definition, N rows in a mapping dataset — each row drives a differently filtered snapshot to a different recipient email. True data-driven bursting for franchise-level delivery.
Paginated report subscriptions (Premium): full pixel-perfect PDF/Excel attachment per schedule, with parameter-per-recipient rows. Ideal for catering detail report per franchise.
Power Automate integration: conditional/branded email workflows, Teams delivery, SharePoint archiving.</t>
  </si>
  <si>
    <t>Basic subscriptions — no per-recipient dynamic filtering natively.
Subscriptions: email delivery of a view or workbook as PDF or PNG image on a configured schedule. Recipients receive the same content (filtered only to their RLS if configured).
'Only when data changes' option available on Tableau Cloud subscriptions.
Per-recipient bursting: not natively supported. Must script via REST API — create one subscription per recipient with applied URL filters, or use tabcmd to export filtered PDFs and deliver via email script. Third-party tools (ChristianSteven BI360, Rollstack) provide turnkey bursting.
Data-Driven Alerts: threshold-based email notification when a measure crosses a value — not a report snapshot, but useful for exception-based alerting.</t>
  </si>
  <si>
    <t>Official documentation:
https://learn.microsoft.com/en-us/power-bi/consumer/end-user-subscribe
https://learn.microsoft.com/en-us/power-bi/collaborate-share/end-user-subscribe#subscribe-with-dynamic-per-recipient-subscriptions
https://learn.microsoft.com/en-us/power-bi/paginated-reports/subscriptions/paginated-reports-subscriptions</t>
  </si>
  <si>
    <t>Official documentation:
https://help.tableau.com/current/pro/desktop/en-us/subscribe_user.htm
https://help.tableau.com/current/server/en-us/subscribe.htm
https://help.tableau.com/current/api/rest_api/en-us/REST/rest_api_ref_subscriptions.htm</t>
  </si>
  <si>
    <t>Power BI wins clearly — dynamic subscriptions are a core GTF requirement.
The 'Robots' use case (per-franchise filtered email delivery) is a native Power BI Premium feature — one subscription definition, one mapping dataset, automatic per-recipient bursting. Tableau requires REST API scripting or a third-party tool to achieve the same outcome.
For GTF with potentially hundreds of franchise recipients needing unique territory-filtered reports on a schedule, building a custom bursting script in Tableau is engineering overhead Power BI avoids.
Advantage: POWER BI — dynamic per-recipient subscriptions are native (Premium); Tableau requires custom build.</t>
  </si>
  <si>
    <t>Co-authoring or concurrent editing support</t>
  </si>
  <si>
    <t>Notification and change alert mechanisms</t>
  </si>
  <si>
    <t>Rich alert ecosystem across multiple mechanisms.
Data alerts: set on dashboard tile visuals (card, gauge, KPI) — fires an email + Teams notification when a threshold is crossed. Reusable across org.
Power BI anomaly detection (Premium): AI-driven anomaly flagging on line chart visuals with one-click explanation. No threshold configuration needed.
Power Automate: trigger complex conditional workflows from Power BI data alerts — multi-step notifications, Teams messages, conditional branching, escalation chains.
Smart narratives and on-canvas AI insights (Fabric): surface automatic trend callouts in reports — not a push alert, but a reader-facing callout.</t>
  </si>
  <si>
    <t>Threshold-based email alerts — simpler scope.
Data-Driven Alerts: set on a continuous axis mark in a published view on Server/Cloud. Fires email when measure crosses threshold; configurable check frequency.
Tableau Pulse (Cloud, 2024+): AI-driven metric monitoring with natural language insights delivered via email digest or embedded in Slack/Teams. Designed for executive-level metric health monitoring without requiring users to open Tableau.
Webhook API: register webhook callbacks on content events (workbook/data source publish, job complete/fail, extract refresh fail) — enables event-driven integrations.
Limitation: no equivalent to Power BI anomaly detection on arbitrary line charts; no native Teams notification without custom webhook/connector.</t>
  </si>
  <si>
    <t>Official documentation:
https://learn.microsoft.com/en-us/power-bi/consumer/end-user-alerts
https://learn.microsoft.com/en-us/power-bi/transform-model/desktop-anomaly-detection
https://learn.microsoft.com/en-us/power-bi/connect-data/power-bi-data-sources#power-automate</t>
  </si>
  <si>
    <t>Official documentation:
https://help.tableau.com/current/pro/desktop/en-us/data_alerts.htm
https://help.tableau.com/current/online/en-us/pulse_set_up.htm
https://help.tableau.com/current/api/rest_api/en-us/REST/rest_api_ref_notifications.htm</t>
  </si>
  <si>
    <t>Power BI wins on alert richness; Tableau Pulse is a differentiator for AI-driven monitoring.
Power BI's anomaly detection, Power Automate integration, and multi-channel delivery (email, Teams, mobile push) give a more comprehensive alerting ecosystem. Threshold-based data alerts are comparable.
Tableau Pulse is a notable differentiator for executive metric health monitoring with NL summaries — no direct Power BI equivalent in the same packaging.
For GTF operational alerting (franchise missing sales target, catering order spike): Power BI Power Automate flows give more customization. For board-level metric digests: Tableau Pulse is compelling.
Advantage: POWER BI for operational alerting; TABLEAU PULSE for executive metric digest.</t>
  </si>
  <si>
    <t>Integration with collaboration platforms (Teams, Slack, email)</t>
  </si>
  <si>
    <t>Maps to #8 (email). Compare native subscription email vs Power Automate flows vs Tableau Subscriptions vs custom REST API automation.</t>
  </si>
  <si>
    <t>Native Microsoft 365 ecosystem integration — strongest in market for Teams/SharePoint.
Microsoft Teams: native Power BI tab (add report as channel tab), Power BI meeting app (share report during meeting), Power BI Teams bot (query data in chat), subscribe reports directly from Teams UI.
SharePoint Online: native Power BI web part — embed live, filterable report in any SharePoint page without iFrame or custom code.
Outlook: email subscriptions with PDF/PPTX snapshots delivered to shared mailboxes; Power Automate for conditional branded HTML emails.
Viva Insights / M365 analytics integration: Power BI datasets feed into M365 productivity analytics.
Slack: not native — requires Power Automate connector or incoming webhook script.</t>
  </si>
  <si>
    <t>Salesforce ecosystem strength; Microsoft ecosystem via configuration.
Slack: official Tableau for Slack connector — share views, receive alerts, and query Tableau Pulse metrics from Slack channels. Best-in-class Slack integration among BI tools.
Microsoft Teams: Tableau for Microsoft Teams connector — subscribe to views, get alerts, run Ask Data queries from Teams chat. Less native than Power BI's built-in Teams tab experience; no meeting app.
SharePoint: no native web part — embed via iframe or use Tableau for SharePoint (3rd-party extension by Tableau).
Salesforce: native integration — Tableau dashboards embed natively in Salesforce CRM Lightning pages, Slack (Salesforce owns both).
Email: standard subscriptions; no dynamic per-recipient without scripting.</t>
  </si>
  <si>
    <t>Official documentation:
https://learn.microsoft.com/en-us/power-bi/collaborate-share/service-collaborate-microsoft-teams
https://learn.microsoft.com/en-us/power-bi/collaborate-share/service-embed-report-spo
https://learn.microsoft.com/en-us/power-bi/collaborate-share/service-microsoft-teams-app</t>
  </si>
  <si>
    <t>Official documentation:
https://help.tableau.com/current/online/en-us/slack_admin.htm
https://help.tableau.com/current/online/en-us/teams_admin.htm
https://www.tableau.com/products/add-ons/tableau-for-microsoft-teams</t>
  </si>
  <si>
    <t>Power BI wins decisively for the GTF Microsoft-centric stack.
GTF operates on Azure / Microsoft 365 — Power BI's native Teams tab, SharePoint web part, and Teams bot are zero-configuration integrations that Teams users encounter daily. No iFrame, no connector setup, no developer involvement.
Tableau's Slack integration is best-in-class (if GTF used Slack) and its Salesforce embedding is superior — but GTF is Teams + SharePoint, not Slack + Salesforce.
Advantage: POWER BI for Microsoft 365 collaboration stack (Teams, SharePoint, Outlook). TABLEAU if Slack or Salesforce CRM are primary collaboration tools.</t>
  </si>
  <si>
    <t>Version history and rollback on shared content</t>
  </si>
  <si>
    <t>Approval workflows for publishing reports</t>
  </si>
  <si>
    <t>6. Licensing &amp; TCO</t>
  </si>
  <si>
    <t>Licensing model (per user, per capacity/core, consumption-based)</t>
  </si>
  <si>
    <t>Power BI (per-user + Premium capacity) vs Tableau (Creator/Explorer/Viewer) are structurally different. Model each against franchise user-count and consumption pattern.</t>
  </si>
  <si>
    <t>"Three licensing models available:
PER-USER
  - Pro: $10/user/mo (authoring + sharing)
  - PPU: $20/user/mo (+ paginated reports, pipelines, XMLA)
  - Both authors AND viewers need Pro in shared capacity
PER-CAPACITY (flat monthly)
  - Fabric F64 ~$5,040/mo (= retired P1) -- viewers FREE
  - Fabric F128 ~$10,080/mo (= retired P2) -- viewers FREE
  - P SKUs retired Jul 2024; new customers must use Fabric F SKUs
CONSUMPTION-BASED
  - Fabric pay-as-you-go: billed per CU/hr, elastic scaling
  - Ideal for seasonal/variable workloads
Note: Pro included in M365 E3/E5 -- may be $0 extra for GTF staff"</t>
  </si>
  <si>
    <t>"One model only: PER-USER (no capacity tier available)
THREE EDITIONS (ascending features + cost):
  - Basic (Server/Cloud)
  - Enterprise (Server/Cloud) -- adds Data Management
  - Tableau+ (Cloud only) -- adds AI/Agent/Einstein
ROLE PRICING (Basic list, Cloud):
  - Creator:      $75/user/mo
  - Explorer:     $42/user/mo
  - Viewer:       $15/user/mo
  - Viewer (RUL): enterprise quote only
Enterprise &amp; Tableau+ pricing: negotiated -- no public list price
Every user is licensed; no free-viewer equivalent"</t>
  </si>
  <si>
    <t>"Power BI pricing (Pro / PPU):
https://powerbi.microsoft.com/en-us/pricing/
Fabric F SKU pricing &amp; P SKU retirement:
https://azure.microsoft.com/en-us/pricing/details/microsoft-fabric/
P SKU retirement notice (Jul 2024 cutoff):
https://community.fabric.microsoft.com/t5/Power-BI-Updates-Blog/Important-update-coming-to-Power-BI-Premium-licensing/ba-p/5174515
Feature comparison by license type:
https://learn.microsoft.com/en-us/power-bi/fundamentals/service-features-license-type"</t>
  </si>
  <si>
    <t>"Tableau pricing page (Creator/Explorer/Viewer list):
https://www.tableau.com/pricing/teams-orgs
Tableau Cloud licensing guide (per-role pricing):
https://help.tableau.com/current/online/en-us/license_cloud_pricing.htm
Tableau edition feature breakdown (Basic/Enterprise/Tableau+):
https://www.tableau.com/products/tableau-cloud
Tableau license roles (Creator/Explorer/Viewer capabilities):
https://help.tableau.com/current/server/en-us/license_roles.htm"</t>
  </si>
  <si>
    <t>"LICENSING MODEL COMPARISON
Power BI: hybrid -- per-user (Pro/PPU) + per-capacity (Fabric F) + consumption
Tableau:  per-user only -- no capacity alternative
Critical difference at GTF franchise scale (750 RUL viewers):
  - Tableau Viewer $15/mo x 750 x 12 = $135,000/yr
  - Power BI Fabric F64: viewer cost = $0
GTF minimum viable:
  - Power BI: Fabric F64 + Pro for ~75 authors
  - Tableau: Enterprise edition (Basic lacks Data Management/RLS)
Advantage: POWER BI -- flexible model + free-viewer at franchise scale"</t>
  </si>
  <si>
    <t>Cost at different scale points (50, 500, 5000 users)</t>
  </si>
  <si>
    <t xml:space="preserve">Franchise viewer count is the cost driver. Build a per-user cost curve for both tools at GTF's expected scale.
</t>
  </si>
  <si>
    <t>"OPTION A -- Pro for all (no capacity)  [$10/user/mo]
  50 users:   $6,000/yr
  500 users:  $60,000/yr
  5,000 users: $600,000/yr
OPTION B -- Fabric F64 + free viewers  [flat ~$5,040/mo + $10/author]
  50 users  (5 authors):  $5,640/mo = $67,680/yr  [overkill vs Option A]
  500 users (25 authors): $5,290/mo = $63,480/yr  [break-even with Pro-all]
  5,000 users (50 authors): $5,540/mo = $66,480/yr  [89% cheaper than Pro-all]
GTF ACTUAL (1,025 users -- 75 authors + 950 viewers):
  Fabric F64 + 75 Pro: ~$5,790/mo = ~$69,480/yr
  If M365 E3/E5 covers Pro: ~$5,040/mo = ~$60,480/yr
Note: Fabric F128 (~$10,080/mo) for &gt;2,000 concurrent users"</t>
  </si>
  <si>
    <t>"Tableau Cloud -- Basic list prices (Enterprise pricing is higher, negotiated)
Creator $75 | Explorer $42 | Viewer $15 | RUL = enterprise quote
GENERIC SCALE (authors + viewers only):
  50 users  (5C + 45V):    $1,050/mo = $12,600/yr
  500 users (25C + 475V):  $9,000/mo = $108,000/yr
  5,000 users (50C + 4,950V): $78,000/mo = $936,000/yr
GTF ACTUAL (1,025 users -- Basic list, excl. RUL):
  25C + 50E + 200V: $6,975/mo = $83,700/yr
  + 750 RUL @ ~$9/mo est.: +$6,750/mo = +$81,000/yr
  Indicative total: ~$164,700/yr (Basic edition)
Note: GTF minimum viable = Enterprise edition -- actual cost higher than Basic list"</t>
  </si>
  <si>
    <t>"Power BI pricing (Pro / PPU):
https://powerbi.microsoft.com/en-us/pricing/
Fabric F SKU pricing:
https://azure.microsoft.com/en-us/pricing/details/microsoft-fabric/
Azure pricing calculator (custom model):
https://azure.microsoft.com/en-us/pricing/calculator/
M365 E3/E5 plan inclusions:
https://www.microsoft.com/en-us/microsoft-365/enterprise/compare-office-365-plans"</t>
  </si>
  <si>
    <t>"Tableau pricing page (Creator/Explorer/Viewer list):
https://www.tableau.com/pricing/teams-orgs
Tableau Cloud licensing guide:
https://help.tableau.com/current/online/en-us/license_cloud_pricing.htm
Tableau license roles (Creator/Explorer/Viewer capabilities):
https://help.tableau.com/current/server/en-us/license_roles.htm"</t>
  </si>
  <si>
    <t>"ANNUAL LICENSE COST COMPARISON
Scale        | Power BI (Fabric F64) | Tableau Cloud (Basic list)
-------------|----------------------|---------------------------
50 users     | $67,680/yr           | $12,600/yr
500 users    | $63,480/yr           | $108,000/yr
5,000 users  | $66,480/yr           | $936,000/yr
GTF (1,025)  | ~$69,480/yr          | ~$164,700/yr (est. incl. RUL)
Crossover point: ~500 users -- below this, Tableau All-User is cheaper;
above this, Power BI Fabric dominates due to free-viewer model.
At 5,000 users: Power BI is 93% cheaper than Tableau Cloud.
GTF (1,025): Power BI ~58% cheaper even at current user count.
Caveat: Tableau Enterprise pricing is negotiated -- actual GTF cost
could differ significantly from Basic list prices shown above.
Advantage: POWER BI -- decisively at GTF scale and above"</t>
  </si>
  <si>
    <t>Distinction between author/creator vs. viewer licensing costs</t>
  </si>
  <si>
    <t xml:space="preserve">Most franchise users are read-only viewers — viewer SKU cost dominates 3-year TCO. Compare Power BI Pro/PPU/Premium-per-User vs Tableau Viewer.
</t>
  </si>
  <si>
    <t>"NO separate cheaper viewer SKU in shared (Pro) capacity.
Author and viewer both pay the same rate unless Fabric capacity is purchased.
ROLE COSTS:
  Author (Pro):        $10/user/mo -- full authoring + sharing
  Author (PPU):        $20/user/mo -- unlocks paginated, pipelines, XMLA
  Viewer (Pro/shared): $10/user/mo -- same as author (over-charged)
  Viewer (Fabric F64): $0/user/mo  -- FREE; only needs free PBI license
NO mid-tier between Pro ($10) and Free -- unlike Tableau's Explorer
GTF implication:
  950 viewers on Fabric F64 = $0/yr
  950 viewers on Pro        = $114,000/yr
  Fabric capacity pays for itself with ~42 viewers"</t>
  </si>
  <si>
    <t>"CLEAR 3-TIER role model with distinct pricing and capabilities.
ROLE COSTS (Basic/Cloud list):
  Creator  $75/mo -- full Desktop + web authoring; connect any data source
  Explorer $42/mo -- web authoring only; existing data sources only
  Viewer   $15/mo -- read-only; filter, drill, subscribe, custom views
  RUL      quote  -- franchise/external viewer; restricted content access
Explorer tier advantage:
  Saves $33/mo vs Creator; enforces data-source governance guardrail
  (cannot connect raw/new data sources -- useful for GTF regional analysts)
GTF breakdown:
  25 Creator + 50 Explorer + 200 Viewer + 750 RUL
  Non-RUL annual cost: $83,700/yr (Basic list)
  Every user licensed -- no free-viewer path"</t>
  </si>
  <si>
    <t>"Power BI license types (Free/Pro/PPU feature table):
https://learn.microsoft.com/en-us/power-bi/fundamentals/service-features-license-type
Power BI Premium -- free viewer license detail:
https://learn.microsoft.com/en-us/power-bi/enterprise/service-premium-what-is
Power BI pricing:
https://powerbi.microsoft.com/en-us/pricing/"</t>
  </si>
  <si>
    <t>"Tableau license roles (Creator/Explorer/Viewer):
https://help.tableau.com/current/server/en-us/license_roles.htm
Tableau Cloud licensing guide (per-role pricing):
https://help.tableau.com/current/online/en-us/license_cloud_pricing.htm
Tableau pricing page:
https://www.tableau.com/pricing/teams-orgs"</t>
  </si>
  <si>
    <t>"AUTHOR vs VIEWER COST COMPARISON
Role         | Power BI (Pro) | Power BI (Fabric) | Tableau (Basic)
-------------|----------------|-------------------|----------------
Full author  | $10/mo         | $10/mo (Pro)      | $75/mo (Creator)
Mid-analyst  | $10/mo (same)  | $10/mo (same)     | $42/mo (Explorer)
Viewer       | $10/mo (same)  | $0/mo (FREE)      | $15/mo (Viewer)
Ext. viewer  | $10/mo (same)  | $0/mo (FREE)      | RUL (quote)
Key points:
1. Fabric F64 makes Power BI's viewer cost $0 -- decisive at franchise scale
2. Tableau Explorer ($42/mo) is a useful mid-tier Power BI doesn't have natively
   -- better governance guardrail for regional analysts
3. Power BI Pro over-charges viewers at $10/mo (same as authors) in shared capacity
Advantage for franchise viewers: Power BI Fabric ($0) &gt;&gt; Tableau RUL &gt;&gt; PBI Pro
Advantage for mid-analysts: Tableau Explorer has cleaner capability boundaries
Overall: POWER BI -- Fabric viewer model dominates at GTF's 750 franchise operators"</t>
  </si>
  <si>
    <t>Premium or capacity-based tiers and what they unlock</t>
  </si>
  <si>
    <t>Power BI Premium unlocks paginated reports, large model sizes, RLS at scale, deployment pipelines. Map these unlocks to GTF's requirements to see what tier is mandatory.</t>
  </si>
  <si>
    <t>"TIER LADDER -- each step unlocks GTF-critical features:
Pro ($10/user/mo):
  Standard reports, sharing, RLS, 8x/day refresh
  Does NOT unlock: paginated reports, pipelines, subscriptions
PPU ($20/user/mo):
  + Paginated reports (req #7 -- catering detail)
  + Deployment pipelines (req #3 -- Dev/Test/Prod)
  + Dynamic per-recipient subscriptions (req #8 -- Robots)
  + XMLA endpoint (AtScale connectivity)
  Viewers of PPU workspaces also need PPU -- no viewer saving
Fabric F64 (~$5,040/mo flat):
  All PPU features PLUS:
  + Viewers FREE (decisive for franchise scale)
  + OneLake, Fabric Data Warehouse, Real-Time Intelligence
  + Copilot / AI features
GTF verdict: Fabric F64 is the recommended tier --
  unlocks all must-have features AND makes 950 viewers free"</t>
  </si>
  <si>
    <t>"NO capacity tiers -- features unlocked by EDITION, not add-ons.
Basic (Server/Cloud):
  Core analytics, Tableau Prep, basic Pulse, 3 Cloud sites
  No Data Management -- centralised RLS NOT available
  NOT viable for GTF
Enterprise (Server/Cloud):
  + Data Management (Virtual Connections + Data Policies = centralised RLS)
  + Tableau Catalog (lineage), Prep Conductor (scheduled flows)
  + Resource Block, Advanced Management, 10 Cloud sites
  GTF minimum viable edition
Tableau+ (Cloud only):
  + Tableau Agent (AI copilot, fka Einstein Copilot)
  + Einstein (AI) Request Credits
  + Pulse premium (Goals, Alerting, Enhanced Ask, Digest)
  + Data Cloud (250K credits), Tableau Next, 50 Cloud sites
STRUCTURAL GAPS (no edition resolves):
  Req #7 Paginated reports:          NOT available
  Req #8 Per-recipient bursting:     NOT available natively"</t>
  </si>
  <si>
    <t>"Power BI Premium overview (P SKUs / Fabric / free viewers):
https://learn.microsoft.com/en-us/power-bi/enterprise/service-premium-what-is
PPU features vs Pro:
https://learn.microsoft.com/en-us/power-bi/enterprise/service-premium-per-user-faq
Paginated reports -- requires PPU or Fabric:
https://learn.microsoft.com/en-us/power-bi/paginated-reports/paginated-reports-report-builder-power-bi
Deployment pipelines -- requires PPU or Fabric:
https://learn.microsoft.com/en-us/power-bi/create-reports/deployment-pipelines-overview
Dynamic subscriptions -- requires Fabric:
https://learn.microsoft.com/en-us/power-bi/collaborate-share/power-bi-dynamic-report-subscriptions"</t>
  </si>
  <si>
    <t>"Tableau edition breakdown (Basic/Enterprise/Tableau+):
https://www.tableau.com/products/tableau-cloud
Data Management -- Virtual Connections + Data Policies:
https://help.tableau.com/current/online/en-us/dm_vconn_overview.htm
Tableau Catalog (lineage -- requires Data Management):
https://help.tableau.com/current/online/en-us/dm_catalog_overview.htm
Tableau Pulse overview:
https://help.tableau.com/current/online/en-us/pulse_overview.htm
Tableau pricing page:
https://www.tableau.com/pricing/teams-orgs"</t>
  </si>
  <si>
    <t>"GTF REQUIREMENT vs TIER MAPPING
Requirement                  | Power BI tier needed  | Tableau edition needed
-----------------------------|----------------------|----------------------
Paginated reports (#7)       | Fabric F64 (PPU min) | NOT AVAILABLE
Dynamic subscriptions (#8)   | Fabric F64 (PPU min) | NOT AVAILABLE
Deployment pipelines (#3)    | Fabric F64 (PPU min) | No equivalent
Centralised RLS (#4)         | Pro (DAX RLS)        | Enterprise (Data Mgmt)
Free franchise viewers       | Fabric F64 only      | Not applicable
AtScale XMLA / SQL           | PPU or Fabric        | Basic (SQL path)
Data lineage / catalog       | Fabric (Purview)     | Enterprise (Catalog)
Conclusions:
1. Power BI Fabric F64 satisfies ALL GTF requirements in one tier
2. Tableau Enterprise satisfies RLS (#4) but cannot resolve #7 or #8
3. No Tableau edition or add-on resolves paginated reports or per-recipient bursting
Advantage: POWER BI -- single tier resolves all GTF must-haves"</t>
  </si>
  <si>
    <t>Cost of connectors, add-ons, and marketplace extensions</t>
  </si>
  <si>
    <t>Confirm whether the AtScale connector incurs additional licensing on either the BI-vendor or AtScale side. Include in TCO.</t>
  </si>
  <si>
    <t>On-premises vs. cloud licensing cost differential</t>
  </si>
  <si>
    <t>Tableau Server (on-prem/IaaS) vs Tableau Cloud is a real architectural fork. Power BI is SaaS-only for cloud; PBI Report Server exists but is feature-limited. Compare.
Clarifying questions:
  • Is on-prem deployment a hard requirement, or is vendor-managed cloud acceptable?
  • Any policy preventing reports/data from being hosted in Microsoft cloud?
  • If on-prem is preferred, what is the driver — sovereignty, existing investment, or latency?</t>
  </si>
  <si>
    <t>Contractual flexibility (annual vs. monthly, enterprise agreements)</t>
  </si>
  <si>
    <t>No AtScale-specific angle — evaluate as native tool capability via vendor documentation.
Clarifying questions:
  • Does GTF have an existing Microsoft Enterprise Agreement that could include Power BI?</t>
  </si>
  <si>
    <t>Hidden costs — gateway infrastructure, training, professional services</t>
  </si>
  <si>
    <t xml:space="preserve">Gateway VM sizing for live AtScale connection is a material cost. Include training (Tableau learning curve &gt; Power BI for Microsoft shops) and migration services.
</t>
  </si>
  <si>
    <t>"LOWER hidden costs -- GTF already in Microsoft ecosystem.
1. Gateway infrastructure (On-Premises Data Gateway):
   Only needed if AtScale is in private VNet (confirm with network team)
   2-node HA on Azure: D4s v3 x2 = ~$3,360/yr
   May be $0 if AtScale is cloud-accessible via private endpoint
2. Training:
   Microsoft Learn: free self-paced paths
   PL-300 exam: ~$165/person
   Advanced courses: ~$500-$1,500/person
   BI team (10 people): ~$1,650-$15,000 total
   Learning curve: LOW (existing M365/SSAS familiarity)
3. Implementation:
   Re-architecture only (SSAS -&gt; AtScale XMLA reconnect)
   2-6 weeks dev time: ~$24,000-$72,000
   Microsoft FastTrack: free deployment support (&gt;150 seats)
4. Admin overhead: ~0.15 FTE existing Power BI admin"</t>
  </si>
  <si>
    <t>"HIGHER hidden costs -- net-new tool, no existing investment.
1. Tableau Bridge (if AtScale in private VNet):
   2-node pool: D4s v3 x2 = ~$3,360-$6,720/yr
   Self-managed -- patching, HA monitoring is manual
2. Training:
   Tableau Desktop Specialist exam: ~$250/person
   Instructor-led courses: ~$1,000-$3,000/person
   BI team (10 people): ~$10,000-$30,000 total
   Learning curve: HIGH -- VizQL paradigm vs DAX/tabular
   Time-to-productivity: 2-3x longer than Power BI uplift
3. Implementation:
   Full net-new build (no migration tool from Power BI)
   Partner engagement: ~$150,000-$300,000+
   Report migration: 1-3 dev days/report; 50 reports = ~$50K-$150K
4. Admin overhead: ~0.4 FTE new Tableau specialist (net-new hire/skill)"</t>
  </si>
  <si>
    <t>"On-Premises Data Gateway (overview + HA setup):
https://learn.microsoft.com/en-us/data-integration/gateway/service-gateway-onprem
Gateway sizing guidance:
https://learn.microsoft.com/en-us/power-bi/connect-data/service-gateway-onprem-sizing
Microsoft Learn -- free Power BI training:
https://learn.microsoft.com/en-us/training/powerplatform/power-bi
PL-300 certification:
https://learn.microsoft.com/en-us/credentials/certifications/power-bi-data-analyst-associate/
Microsoft FastTrack:
https://www.microsoft.com/en-us/fasttrack/microsoft-365"</t>
  </si>
  <si>
    <t>"Tableau Bridge (when needed + setup):
https://help.tableau.com/current/online/en-us/to_bridge_install.htm
Tableau training catalogue:
https://www.tableau.com/learn/training
Tableau certification (exam fees):
https://www.tableau.com/learn/certification
AtScale native Tableau connector (no Bridge if AtScale cloud-accessible):
https://www.atscale.com/connectors/tableau/"</t>
  </si>
  <si>
    <t>"HIDDEN COST COMPARISON
Cost area               | Power BI          | Tableau
------------------------|-------------------|--------
Gateway / Bridge infra  | ~$3,360/yr (or $0)| ~$3,360-$6,720/yr
Training (BI team)      | ~$1,650-$15,000   | ~$10,000-$30,000
Learning curve          | LOW (existing)    | HIGH (new paradigm)
Implementation          | ~$24K-$72K        | ~$150K-$300K+
Report migration        | Minimal (reconnect)| ~$50K-$150K (rebuild)
Admin overhead          | 0.15 FTE existing | 0.4 FTE new hire
Key points:
1. Gateway/Bridge infra is roughly equal (or $0 for both if AtScale cloud-accessible)
2. Implementation gap is the largest single hidden cost:
   Power BI = re-architecture; Tableau = full rebuild (no migration tool)
3. Training is 2-4x more expensive for Tableau; productivity ramp 2-3x longer
4. Tableau admin requires a net-new specialist -- harder to hire, narrower market
Advantage: POWER BI -- significantly lower hidden costs across all categories"</t>
  </si>
  <si>
    <t>Vendor discount structures for large enterprise commitments</t>
  </si>
  <si>
    <t xml:space="preserve">No AtScale-specific angle — evaluate as native tool capability via vendor documentation.
</t>
  </si>
  <si>
    <t>Total 3-year TCO model including infrastructure and admin overhead</t>
  </si>
  <si>
    <t xml:space="preserve">Final decision artifact. Roll up license + capacity + gateway + admin + training + migration costs over 3 years for both tools.
</t>
  </si>
  <si>
    <t>"3-YEAR TCO -- POWER BI (Fabric F64 path)
GTF ACTUAL (1,025 users):
  Annual recurring: $69,480/yr (F64 + 75 Pro licenses)
  One-time (Yr 1):  $48,000 re-arch + $8,000 training = $56,000
  Year 1: $125,480 | Year 2: $69,480 | Year 3: $69,480
  3-YEAR TOTAL: ~$264,440
SCALE A (500 users, 25 authors + 475 viewers):
  Annual: $63,480/yr | One-time: $56,000
  3-YEAR TOTAL: ~$242,940
SCALE B (5,000 users, 50 authors + 4,950 viewers):
  Annual: $66,480/yr (F128) | One-time: $56,000
  3-YEAR TOTAL: ~$255,440
Note: If M365 E3/E5 covers Pro licenses,
GTF 3-year total drops to ~$236,440 (-$28K)"</t>
  </si>
  <si>
    <t>"3-YEAR TCO -- TABLEAU CLOUD
(Basic list prices -- Enterprise actual will be higher)
GTF ACTUAL (1,025 users -- Basic list incl. RUL est.):
  Annual recurring: $164,700/yr
  One-time (Yr 1):  $225,000 implementation + $20,000 training = $245,000
  Year 1: $409,700 | Year 2: $164,700 | Year 3: $164,700
  3-YEAR TOTAL: ~$739,100
SCALE A (500 users, 25C + 475V):
  Annual: $108,000/yr | One-time: $245,000
  3-YEAR TOTAL: ~$569,000
SCALE B (5,000 users, 50C + 4,950V):
  Annual: $936,000/yr | One-time: $245,000
  3-YEAR TOTAL: ~$3,053,000
Note: Enterprise pricing negotiated -- actual GTF cost
likely higher than Basic list estimates above"</t>
  </si>
  <si>
    <t>"Power BI pricing (Pro / Fabric F SKUs):
https://powerbi.microsoft.com/en-us/pricing/
Fabric F SKU pricing:
https://azure.microsoft.com/en-us/pricing/details/microsoft-fabric/
Azure Pricing Calculator:
https://azure.microsoft.com/en-us/pricing/calculator/"</t>
  </si>
  <si>
    <t>"
Tableau pricing page:
https://www.tableau.com/pricing/teams-orgs
Tableau Cloud licensing guide:
https://help.tableau.com/current/online/en-us/license_cloud_pricing.htm
Tableau Data Management overview:
https://help.tableau.com/current/online/en-us/dm_overview.htm"</t>
  </si>
  <si>
    <t>"3-YEAR TCO COMPARISON SUMMARY
Scenario       | Power BI     | Tableau Cloud  | PBI Saves
---------------|--------------|----------------|----------
GTF (1,025)    | ~$264,440    | ~$739,100      | ~$474,660 (64%)
500 users      | ~$242,940    | ~$569,000      | ~$326,060 (57%)
5,000 users    | ~$255,440    | ~$3,053,000    | ~$2,797,560 (92%)
Year-by-year (GTF 1,025 users):
         | Power BI   | Tableau
---------|------------|--------
Year 1   | $125,480   | $409,700
Year 2   | $69,480    | $164,700
Year 3   | $69,480    | $164,700
Total    | $264,440   | $739,100
Top cost drivers (GTF):
1. Viewer licensing: $0 PBI vs $135K/yr Tableau (750 RUL franchise operators)
2. Implementation: $56K PBI vs $245K Tableau (no migration tool)
3. Admin overhead: 0.15 FTE PBI vs 0.4 FTE Tableau
Caveats: List prices; EA discount 20-40% may apply to both.
Tableau Enterprise pricing (GTF minimum) is negotiated -- could shift gap.
Advantage: POWER BI -- 64% cheaper over 3 years at GTF's actual user count"</t>
  </si>
  <si>
    <t>7. AI/ML &amp; Advanced Analytics</t>
  </si>
  <si>
    <t>Native AI visuals (anomaly detection, forecasting, key influencers)</t>
  </si>
  <si>
    <t>Natural language query interface (Q&amp;A, Ask Data)</t>
  </si>
  <si>
    <t>Integration with ML platforms (Azure ML, SageMaker, Databricks, Vertex AI)</t>
  </si>
  <si>
    <t>ML lives in Databricks layer, not in BI tool. No AtScale-specific angle — evaluate as native tool capability via vendor documentation.</t>
  </si>
  <si>
    <t>Python and R script execution within the tool</t>
  </si>
  <si>
    <t>AutoML or no-code ML model building</t>
  </si>
  <si>
    <t>Out of scope for this evaluation.</t>
  </si>
  <si>
    <t>Explainability features for AI-generated insights</t>
  </si>
  <si>
    <t>Smart narrative and automated insight generation</t>
  </si>
  <si>
    <t>Predictive analytics and what-if scenario modeling</t>
  </si>
  <si>
    <t>What-if analysis is called out in #6a. Validate parameter-driven what-if in both tools (Power BI parameters/calc groups vs Tableau parameters/actions).</t>
  </si>
  <si>
    <t>Vector/embedding search or GenAI integration roadmap</t>
  </si>
  <si>
    <t>Ability to surface model outputs as first-class visuals</t>
  </si>
  <si>
    <t>8. Deployment &amp; IT Operations</t>
  </si>
  <si>
    <t>Deployment modes — SaaS, self-hosted, hybrid</t>
  </si>
  <si>
    <t>Power BI is SaaS-only (cloud); Tableau offers SaaS (Cloud), self-hosted (Server), or hybrid. Affects the ops model significantly — decide upfront.
Clarifying questions:
  • If self-hosted, who will own operations — in-house DevOps, an MSP, or vendor professional services?
  • Any IT/security policy that forces a specific deployment mode?</t>
  </si>
  <si>
    <t>Three deployment modes available.
SaaS (Power BI Service / Fabric): Microsoft-managed cloud, Azure-hosted, automatic updates, SLA-backed. Most GTF-relevant path — no infrastructure to manage.
On-premises (Power BI Report Server): annual license, Windows Server, fully self-hosted. Suitable for air-gapped or data-residency-constrained environments. Receives quarterly feature updates vs monthly cloud.
Hybrid: Power BI Service (cloud) + On-Premises Data Gateway for data connectivity to on-prem/VNet sources. Most common enterprise pattern — cloud rendering, on-prem data.
Fabric: extends the SaaS model with a full analytics platform (data engineering, warehousing, science, BI) on Azure. Private links and VNet data gateways for network isolation without on-prem infrastructure.</t>
  </si>
  <si>
    <t>Three deployment modes available.
SaaS (Tableau Cloud): Salesforce-managed, hosted on AWS (multiple regions), automatic updates, 99.9% SLA. Recommended for new deployments.
Self-hosted (Tableau Server): full control over infrastructure, OS, upgrades, backups. Deploy on-prem (Windows/Linux), Azure IaaS, AWS EC2, or GCP Compute. Requires sizing, patching, HA planning.
Hybrid: Tableau Cloud + Tableau Bridge for private-network data sources. Bridge runs on-prem; Cloud renders and serves dashboards.
No equivalent to Fabric's unified analytics platform — Tableau is BI-only; data engineering requires separate tooling (Databricks, dbt, etc.).</t>
  </si>
  <si>
    <t>Official documentation:
https://learn.microsoft.com/en-us/power-bi/report-server/get-started
https://learn.microsoft.com/en-us/fabric/fundamentals/fabric-private-links-overview
https://powerbi.microsoft.com/en-us/power-bi-service-sla/</t>
  </si>
  <si>
    <t>Official documentation:
https://help.tableau.com/current/online/en-us/to_get_started_online.htm
https://help.tableau.com/current/server/en-us/install.htm
https://help.tableau.com/current/online/en-us/to_bridge_install.htm</t>
  </si>
  <si>
    <t>Tie — both offer SaaS, self-hosted, and hybrid options.
Power BI SaaS (Fabric) is Azure-native — natural fit for GTF's Azure-first architecture with private links for VNet isolation. Tableau Cloud runs on AWS; connecting to GTF's Azure-hosted AtScale/Databricks adds cross-cloud network complexity.
For cloud-first GTF: Power BI/Fabric on Azure eliminates cross-cloud data egress concerns and simplifies network topology.
Tableau Server (self-hosted) gives maximum control but adds significant IT overhead.
Advantage: POWER BI for Azure-native cloud deployment; TIE for hybrid/self-hosted.</t>
  </si>
  <si>
    <t>Cloud platform support (Azure, AWS, GCP, on-premises)</t>
  </si>
  <si>
    <t>GTF stack is Azure (ADF, Databricks, AAS). Power BI is native Azure; Tableau runs anywhere. Validate Azure-native integration depth for both.</t>
  </si>
  <si>
    <t>Azure-native; multi-cloud data connectivity via connectors.
Power BI Service / Fabric runs exclusively on Microsoft Azure (global regions). Data sources: native connectors to Azure SQL, Synapse, Databricks, ADLS, Cosmos DB, and 150+ external sources including AWS Redshift, S3, GCP BigQuery.
Fabric: unified platform on Azure — compute, storage, BI in one Azure region/tenant.
On-prem or cross-cloud data: on-premises data gateway bridges cloud rendering to any network-accessible source (AWS RDS, GCP BigQuery, on-prem SQL Server).
Power BI Report Server: deployable on any Windows Server — bare metal, Hyper-V, Azure IaaS, AWS EC2, or GCP Compute.</t>
  </si>
  <si>
    <t>Tableau Cloud hosted on AWS; Tableau Server deployable anywhere.
Tableau Cloud: hosted on AWS (East US, EU West, APAC, etc.) — data sources in Azure require cross-cloud connectivity (Tableau Bridge or public endpoints). Native connectors to Databricks, Snowflake, BigQuery, Redshift, Azure SQL, Synapse, ADLS.
Tableau Server: deployable on Azure IaaS (Azure VM), AWS EC2, GCP Compute, on-prem — full infrastructure control. When hosted on Azure VM, network latency to AtScale/Databricks is minimised.
No preferred-cloud dependency at connector level — Tableau supports all major cloud databases equally.</t>
  </si>
  <si>
    <t>Official documentation:
https://learn.microsoft.com/en-us/power-bi/connect-data/power-bi-data-sources
https://learn.microsoft.com/en-us/fabric/fundamentals/microsoft-fabric-overview
https://azure.microsoft.com/en-us/products/power-bi/</t>
  </si>
  <si>
    <t>Official documentation:
https://help.tableau.com/current/pro/desktop/en-us/exampleconnections_overview.htm
https://help.tableau.com/current/online/en-us/to_site_storage.htm
https://www.tableau.com/cloud-hosting</t>
  </si>
  <si>
    <t>Power BI wins for Azure-first organisations.
Power BI/Fabric is built on Azure — same network fabric as GTF's Databricks, ADF, and AtScale. No cross-cloud latency, no egress costs, private link available end-to-end.
Tableau Cloud on AWS introduces Azure-to-AWS network hops for every query against GTF's Azure-based AtScale — adds latency and potential egress charges. Mitigated by deploying Tableau Server on Azure IaaS instead, but that adds self-hosting overhead.
Advantage: POWER BI for Azure-native deployment; TIE if Tableau Server is deployed on Azure IaaS.</t>
  </si>
  <si>
    <t>High availability and disaster recovery architecture</t>
  </si>
  <si>
    <t>Standard, but document how each tool fits the existing Azure DR strategy (e.g., paired regions, RTO/RPO).</t>
  </si>
  <si>
    <t>Upgrade and patch management process (vendor-managed vs. self-managed)</t>
  </si>
  <si>
    <t>Power BI Service is fully vendor-managed; Tableau Server self-hosted = self-managed (operational overhead). Factor into TCO and ops staffing.</t>
  </si>
  <si>
    <t>Infrastructure-as-code support for provisioning</t>
  </si>
  <si>
    <t>Admin portal capabilities (usage monitoring, capacity management, user management)</t>
  </si>
  <si>
    <t>Operating at franchise scale requires usage analytics, capacity monitoring, and bulk user management. Compare Power BI admin portal vs Tableau Server/Cloud admin.</t>
  </si>
  <si>
    <t>Comprehensive — Fabric Admin Portal is one of the richest in the market.
Tenant settings: 200+ configurable governance toggles (who can publish, export, use Q&amp;A, embed, etc.).
Workspace and capacity management: view all workspaces, reassign, monitor usage.
Usage metrics: per-workspace report and dataset usage (views, unique users, refresh success/failures).
Fabric Capacity Metrics app: real-time and 14-day historical CPU throttling, operation-level breakdown — essential for capacity right-sizing.
Scanner API (Admin REST): full tenant metadata scan — all workbooks, datasets, data sources, lineage — for governance tooling.
Audit logs: Power BI activity log exported to Azure Monitor / Log Analytics for SIEM integration.</t>
  </si>
  <si>
    <t>Capable — Tableau Admin areas are well-developed for enterprise governance.
Server Admin / Site Admin: usage stats, user activity, workbook performance, background task queue, storage usage per site.
Tableau Cloud Management: capacity (VizQL sessions), job scheduler, site security policies, auth configuration.
Admin Views (built-in): prebuilt dashboards for space used, traffic to views, traffic to data sources, background tasks for extracts, background tasks for flows.
REST API + Metadata API (GraphQL): programmatic governance — query all content, lineage, certification status, usage counts. More developer-friendly for custom governance tooling than Power BI's Scanner API.
Activity Log (Cloud, 2023+): detailed security-relevant event log for compliance audit.</t>
  </si>
  <si>
    <t>Official documentation:
https://learn.microsoft.com/en-us/power-bi/admin/service-admin-portal
https://learn.microsoft.com/en-us/fabric/enterprise/metrics-app
https://learn.microsoft.com/en-us/power-bi/admin/service-admin-auditing</t>
  </si>
  <si>
    <t>Official documentation:
https://help.tableau.com/current/server/en-us/adminview.htm
https://help.tableau.com/current/api/rest_api/en-us/REST/rest_api_ref_metadata.htm
https://help.tableau.com/current/online/en-us/activity_log_overview.htm</t>
  </si>
  <si>
    <t>Tie — both have enterprise-grade admin portals.
Power BI: Fabric Capacity Metrics App is exceptional for capacity planning and throttling diagnosis — more detailed than Tableau's session-level monitoring. 200+ tenant settings give fine governance control.
Tableau: REST + Metadata GraphQL APIs are more developer-friendly for building custom governance dashboards and lineage tools. Admin Views are pre-built and useful out-of-the-box.
For GTF (Fabric capacity purchase expected): Power BI Capacity Metrics App is a valuable day-to-day operational tool.
Advantage: TIE — Power BI better for capacity metrics; Tableau better for programmatic governance via API.</t>
  </si>
  <si>
    <t>Multi-environment support (dev, staging, production)</t>
  </si>
  <si>
    <t>Backup and restore capabilities for BI content</t>
  </si>
  <si>
    <t>Backup and restore is architecture-dependent — no single command for full workspace.
Semantic models: XMLA endpoint (Premium) allows Tabular Editor / ALM Toolkit to export model as .bim (Tabular Model BIM file) — a full schema + measure backup. Restore by re-deploying via XMLA.
Git integration (Fabric/Premium): workspace connected to Git branch — every publish is a commit; rollback = git revert + sync. Most robust version-control-based restore.
Desktop .pbix export: available for Import-mode reports (Live Connection reports cannot export with model). Limited — not all Fabric items exportable as .pbix.
Fabric items: metadata stored in Git; data (Lakehouse, Warehouse) backed up separately per Azure storage policies.</t>
  </si>
  <si>
    <t>Tableau Server provides an administrator-initiated, explicit full-backup command.
tabcmd: `tabcmd backup` — creates a full site backup (.tsbak) including all workbooks, data sources, users, schedules, permissions. Restores with `tabcmd restore`. Scriptable for scheduled nightly backups.
Tableau Cloud: Salesforce manages infrastructure backup; site content exportable via REST API (workbooks, data sources) or Content Migration Tool. No admin-initiated .tsbak equivalent on Cloud.
Revision history: Tableau Server/Cloud keeps last N versions of each workbook (configurable) — lightweight per-item rollback without full backup/restore.
Content Migration Tool: move content between sites/servers for DR or environment promotion.</t>
  </si>
  <si>
    <t>Official documentation:
https://learn.microsoft.com/en-us/power-bi/developer/projects/projects-git
https://learn.microsoft.com/en-us/analysis-services/tom/introduction-to-the-tabular-object-model-tom-in-analysis-services-amo
https://learn.microsoft.com/en-us/power-bi/connect-data/desktop-enhanced-dataset-metadata</t>
  </si>
  <si>
    <t>Official documentation:
https://help.tableau.com/current/server/en-us/db_backup.htm
https://help.tableau.com/current/server/en-us/db_restore.htm
https://help.tableau.com/current/server/en-us/revision_history_admin.htm
https://help.tableau.com/current/server/en-us/cmt-intro.htm</t>
  </si>
  <si>
    <t>Advantage Tableau for self-managed server backup; Power BI stronger for Git-based CI/CD restore.
Tableau Server's `tabcmd backup` is a single explicit command that captures a full site snapshot — IT-friendly, scriptable, and testable. Tableau Cloud has no equivalent admin backup (Salesforce manages infrastructure).
Power BI has no single-command full-workspace backup; recovery relies on Git (excellent if configured) or .pbix exports (incomplete for Fabric items). Without Git, restoring a Power BI workspace after accidental deletion is complex.
For GTF: if using Fabric (SaaS), Git integration must be configured deliberately as the backup strategy.
Advantage: TABLEAU (Server) for explicit backup/restore; POWER BI with Git for version-controlled content recovery.</t>
  </si>
  <si>
    <t>SLA commitments and incident response times</t>
  </si>
  <si>
    <t>Container and Kubernetes deployment support (for self-hosted options)</t>
  </si>
  <si>
    <t>Only relevant if Tableau Server self-hosted route is chosen. No AtScale-specific angle — evaluate as native tool capability via vendor documentation.</t>
  </si>
  <si>
    <t>9. Data Modeling &amp; Semantic Layer</t>
  </si>
  <si>
    <t>Support for star and snowflake schema modeling</t>
  </si>
  <si>
    <t>AtScale owns the semantic model. Validate that each BI tool consumes AtScale's flattened model 1:1 without over-imposing its own modeling layer.</t>
  </si>
  <si>
    <t>Power BI receives AtScale's pre-built dimensional model via XMLA — schema arrives fully formed.
When connecting Live (XMLA), Power BI's model pane shows AtScale's fact and dimension tables with all relationships already defined and correct cardinality set. Report authors see a ready star schema with no relationship wiring needed.
Additional local tables (e.g., a budget Excel sheet) can be added via Composite model on top of the AtScale Live Connection — Power BI supports this; Tableau does not equivalently.
VertiPaq optimizes star schema queries extremely well (single-table filtering via bitmap joins).</t>
  </si>
  <si>
    <t>Tableau receives AtScale as SQL tables — relationships must be wired manually in Tableau's logical layer.
When connecting to AtScale as a SQL source, Tableau sees individual tables. Authors must define Relationships between facts and dimensions in the logical layer (drag dimension primary key to fact foreign key, set cardinality and referential integrity).
Tableau's logical layer (noodle model) supports star schemas well once wired — each relationship is a JOIN that Tableau generates on demand. Snowflake schemas supported by chaining relationships.
Extra authoring step vs Power BI's pre-formed XMLA model — adds setup time per workbook/published data source.</t>
  </si>
  <si>
    <t>Official documentation:
https://learn.microsoft.com/en-us/power-bi/transform-model/desktop-relationships-understand
https://learn.microsoft.com/en-us/power-bi/connect-data/desktop-composite-models
https://atscale.com/resource/power-bi-live-connection/</t>
  </si>
  <si>
    <t>Official documentation:
https://help.tableau.com/current/pro/desktop/en-us/relate_tables.htm
https://help.tableau.com/current/pro/desktop/en-us/datasource_multitable_normalized.htm
https://atscale.com/resource/tableau-connector/</t>
  </si>
  <si>
    <t>Power BI edge for AtScale schema consumption.
Power BI's XMLA Live Connection to AtScale delivers the star schema pre-formed — report authors start from a ready model with no relationship configuration. Tableau authors must manually wire every fact-dimension relationship from AtScale's SQL tables, adding setup time per workbook or published data source.
Composite models in Power BI allow blending the AtScale XMLA model with additional local data sources — a unique hybrid capability Tableau lacks.
Advantage: POWER BI — schema arrives pre-defined via XMLA; less authoring overhead per report.</t>
  </si>
  <si>
    <t>Calculated columns, measures, and KPI definitions (DAX, Tableau calculations)</t>
  </si>
  <si>
    <t>Some report-local calcs are inevitable (variance vs. plan, dynamic ratios). Validate that local DAX/Tableau calcs don't compromise AtScale governance — i.e., don't replicate AtScale measures locally.</t>
  </si>
  <si>
    <t>AtScale certified measures surface in Power BI as native model measures.
Via XMLA Live Connection, all AtScale-defined measures (revenue, margin, YTD, etc.) appear in the Fields pane exactly as certified — no recreation needed.
Report-level measures (DAX): Power BI uniquely allows adding DAX measures on top of a Live Connection model without modifying AtScale — last-mile report-specific calculations that do not pollute the governed semantic model.
Calculation Groups (via Tabular Editor): reusable time-intelligence and formatting patterns applied across all measures — 1 Calculation Group replaces 20+ individual time-intelligence measures.
KPI visual: built-in KPI visual type for target vs actual vs trend in a single widget.</t>
  </si>
  <si>
    <t>AtScale measures arrive as fields in the Tableau data pane.
When connecting to AtScale via SQL, Tableau exposes AtScale's pre-calculated measures as available fields — report authors drag them onto the canvas without recreating SQL.
Report-level calculated fields: Tableau calculated fields can be defined on top of AtScale's fields — using standard Tableau expression language (not DAX). LOD expressions, table calculations (WINDOW_SUM, RANK, INDEX), and string/date functions available.
No Calculation Group equivalent — time intelligence variants (YTD, MTD, Rolling) must be authored as separate calculated fields.
KPI: no dedicated KPI visual type — achieved via BANs (Big Ass Numbers), text tables with conditional formatting, or BAN+sparkline combos.</t>
  </si>
  <si>
    <t>Official documentation:
https://learn.microsoft.com/en-us/power-bi/transform-model/desktop-measures
https://learn.microsoft.com/en-us/power-bi/transform-model/calculation-groups
https://learn.microsoft.com/en-us/power-bi/visuals/power-bi-visualization-kpi</t>
  </si>
  <si>
    <t>Official documentation:
https://help.tableau.com/current/pro/desktop/en-us/calculations_calculatedfields_create.htm
https://help.tableau.com/current/pro/desktop/en-us/calculations_calculatedfields_lod.htm
https://help.tableau.com/current/pro/desktop/en-us/calculations_tablecalculations.htm</t>
  </si>
  <si>
    <t>Power BI edge for business calculation layer.
AtScale-defined measures surface cleanly in both tools. Power BI's unique advantage: report-level DAX measures extend the model without modifying AtScale — powerful for last-mile business logic (custom P&amp;L lines, blended metrics). Calculation Groups avoid measure proliferation elegantly.
Tableau calculated fields are more accessible to analysts (familiar syntax) but lack DAX's expressiveness for complex financial logic. No Calculation Group equivalent means more manual measure maintenance.
For GTF's P&amp;L and franchise performance KPIs: DAX Calculation Groups + report-level measures are a meaningful authoring productivity advantage.
Advantage: POWER BI for complex financial calculations and calculation reuse; TIE for standard aggregation and analytical calcs.</t>
  </si>
  <si>
    <t>Reusable certified dataset / semantic model concept</t>
  </si>
  <si>
    <t>CRITICAL — how does each BI tool surface AtScale as a ‘certified’ source? Power BI's Datasets vs Tableau's Published Data Sources vs direct AtScale connection — which gives the cleanest governance story?</t>
  </si>
  <si>
    <t>First-class certified semantic model ecosystem.
Power BI semantic model endorsement: workspace admins can 'Promote' or 'Certify' a semantic model — certified badge appears in the Data Hub and connector dialogs. Certification signals the model is authoritative and governed.
Live Connection reuse: any report author in the tenant can connect to a certified semantic model via Live Connection (Get Data → Power BI semantic models) — no data copy, no duplication, inherits all RLS/OLS definitions automatically.
In the GTF AtScale pattern: AtScale's model becomes a certified Power BI semantic model; hundreds of reports all connect to the same live source — one update propagates everywhere.
Lineage view: tracks which reports consume which semantic model.</t>
  </si>
  <si>
    <t>Published data sources with certification support.
Tableau published data sources: authors connect to a published data source (workbook → data pane → right-click → Publish to Server) — makes it available to all site users as a reusable, live connection or extract.
Certification badge: admins can certify a published data source — appears with badge in Tableau's search and data catalog. Data quality warnings flag stale or untrustworthy sources.
Governed catalog: Tableau Data Management add-on provides a full data catalog (Tableau Catalog) with lineage, impact analysis, certified source filtering, and sensitivity labels.
Without Data Management: certification badge exists but catalog and lineage views are not available — reduces governance visibility.</t>
  </si>
  <si>
    <t>Official documentation:
https://learn.microsoft.com/en-us/power-bi/collaborate-share/service-endorse-content
https://learn.microsoft.com/en-us/power-bi/collaborate-share/service-dataset-details
https://learn.microsoft.com/en-us/power-bi/collaborate-share/service-data-lineage</t>
  </si>
  <si>
    <t>Official documentation:
https://help.tableau.com/current/server/en-us/datasource_certified.htm
https://help.tableau.com/current/server/en-us/dm_catalog_overview.htm
https://help.tableau.com/current/server/en-us/dm_lineage.htm</t>
  </si>
  <si>
    <t>Power BI wins for governed reuse without additional licensing.
Power BI certified semantic model + Live Connection is a tightly integrated, no-add-on pattern: certify once in the Data Hub, connect from anywhere, inherit all security — zero data copy.
Tableau's published data source certification works but the lineage and catalog features that make governance visible require the Data Management add-on (extra license cost).
For GTF (AtScale as the single certified semantic layer): Power BI's model promotion/certification + Live Connection is the natural fit — certify the AtScale-connected model once, propagate to all franchise reports.
Advantage: POWER BI — certified semantic model reuse + lineage included without add-on.</t>
  </si>
  <si>
    <t>Relationships and cardinality handling (many-to-many, bi-directional)</t>
  </si>
  <si>
    <t>Resolved at AtScale. Validate edge cases (e.g., many-to-many fact tables) surface correctly in each BI tool.</t>
  </si>
  <si>
    <t>Hierarchy definition and drill path management</t>
  </si>
  <si>
    <t>P&amp;L hierarchies (#6d) are defined in AtScale. Validate that each BI tool surfaces them as native drillable hierarchies (not flattened lists).</t>
  </si>
  <si>
    <t>Hierarchies from AtScale arrive pre-built via XMLA — no author reconfiguration.
AtScale's dimensional hierarchies (Brand → Concept → Unit; Year → Quarter → Month) are transmitted through the XMLA connection and appear as expandable hierarchies in Power BI's field list. Authors simply drag a hierarchy onto a visual's axis — drill up/down controls appear automatically.
Date hierarchy: Power BI auto-generates a date hierarchy from any date column if no hierarchy is explicitly defined — Year, Quarter, Month, Day without any authoring.
Additional hierarchies: Power BI authors can define supplemental hierarchies within the local model layer (for composite model scenarios).
Drill-through pages: full context-passing drill-through to a detail page is a separate but complementary capability.</t>
  </si>
  <si>
    <t>Hierarchies must be manually defined from AtScale's SQL columns.
AtScale exposes flat SQL columns (brand_name, unit_name, year, quarter, month, day) — Tableau authors must define drill paths by dragging dimension fields into a parent-child structure in the Data pane (e.g., drag Unit onto Brand).
Date dimension: Tableau auto-creates date drill hierarchy (Year &gt; Quarter &gt; Month &gt; Day &gt; Hour &gt; Minute) from any date/datetime column — no manual setup needed.
Custom hierarchies: drag one field onto another in the Data pane; Tableau creates a hierarchy folder. Limited to the order defined — cannot reorder drill levels at runtime.
Drill-through equivalent: Dashboard Action (Go to Sheet) with filter context — achieves the same outcome with more manual configuration.</t>
  </si>
  <si>
    <t>Official documentation:
https://learn.microsoft.com/en-us/power-bi/create-reports/desktop-drill-through-buttons
https://learn.microsoft.com/en-us/power-bi/visuals/desktop-matrix-visual#expand-and-collapse-row-headers
https://learn.microsoft.com/en-us/power-bi/transform-model/desktop-tutorial-create-measures</t>
  </si>
  <si>
    <t>Official documentation:
https://help.tableau.com/current/pro/desktop/en-us/qs_hierarchies.htm
https://help.tableau.com/current/pro/desktop/en-us/actions_dashboards.htm
https://help.tableau.com/current/pro/desktop/en-us/drilldown.htm</t>
  </si>
  <si>
    <t>Power BI advantage for AtScale hierarchy consumption.
AtScale-defined hierarchies (Brand → Concept → Unit; fiscal calendar hierarchy) are transmitted pre-built through the XMLA connection — Power BI authors never manually wire drill paths. Tableau authors must manually build each hierarchy from AtScale's flat SQL columns, adding setup time per published data source.
Date hierarchies are auto-handled equally in both tools.
For GTF with a multi-level franchise hierarchy (Brand → Territory → Unit): Power BI authors save meaningful setup time per workbook.
Advantage: POWER BI — AtScale hierarchies arrive pre-defined via XMLA; Tableau requires manual hierarchy configuration from SQL columns.</t>
  </si>
  <si>
    <t>Time intelligence functions (YTD, MTD, rolling periods)</t>
  </si>
  <si>
    <t>Split decision: define time intelligence in AtScale's calendar dim or in BI-tool DAX/calcs? Validate both approaches and recommend a single home for it.</t>
  </si>
  <si>
    <t>Native DAX time intelligence is the strongest in the BI market.
AtScale exposes time-grain columns and pre-calculated period measures; Power BI authors add last-mile DAX time intelligence on top — TOTALYTD, TOTALMTD, DATESINPERIOD, SAMEPERIODLASTYEAR, PARALLELPERIOD, DATEADD — all execute natively in the Live Connection model.
Calculation Groups (Tabular Editor): define YTD, MTD, QTD, Rolling 12M, Prior Year, Variance vs PY as one Calculation Group — applies to every measure automatically. Eliminates measure sprawl for time intelligence.
Report-level time intelligence measures can be added without modifying AtScale — authors work on top of the governed model independently.</t>
  </si>
  <si>
    <t>Tableau date functions are capable but more manual to set up for enterprise time intelligence.
AtScale provides time-grain columns; Tableau adds DATETRUNC, DATEADD, DATEDIFF, DATENAME calculated fields for period comparisons. YTD: FIXED LOD on year + conditional date filter. MTD: similar pattern with month filter. Rolling N periods: WINDOW_SUM over date-ordered partition.
No Calculation Group equivalent — every time intelligence variant (YTD Revenue, YTD Margin, MTD Revenue, Prior Year Revenue…) is a separate calculated field. For 10 measures × 5 period variants = 50 calculated fields vs 1 Calculation Group in Power BI.
Dynamic periods via Parameter: parameter + CASE calculated field to switch between period types — works but adds authoring complexity.</t>
  </si>
  <si>
    <t>Official documentation:
https://learn.microsoft.com/en-us/power-bi/transform-model/calculation-groups
https://dax.guide/st/time-intelligence/
https://learn.microsoft.com/en-us/dax/time-intelligence-functions-dax</t>
  </si>
  <si>
    <t>Official documentation:
https://help.tableau.com/current/pro/desktop/en-us/functions_functions_date.htm
https://help.tableau.com/current/pro/desktop/en-us/calculations_calculatedfields_lod.htm
https://help.tableau.com/current/pro/desktop/en-us/calculations_tablecalculations.htm</t>
  </si>
  <si>
    <t>Power BI wins on time intelligence, particularly at scale.
DAX time intelligence functions are purpose-built for financial period calculations — no workarounds needed for standard enterprise patterns. Calculation Groups reduce measure count dramatically (1 group vs dozens of individual measures).
Tableau achieves the same results but requires more calculated fields and more authoring effort per time period variant. For GTF with P&amp;L reports requiring YTD, MTD, QTD, Rolling 12M, Prior Year across 10+ measures, Calculation Groups are a significant productivity and maintenance advantage.
Advantage: POWER BI — native time intelligence functions + Calculation Groups vs Tableau's manual per-variant calculated fields.</t>
  </si>
  <si>
    <t>Centralized metric layer support (compatibility with dbt Semantic Layer, AtScale, Cube)</t>
  </si>
  <si>
    <t>CRITICAL — this is the architectural bet. Validate AtScale's connector maturity, MDX/XMLA fidelity, and supported features (RLS, hierarchies, calc members) for each BI tool.</t>
  </si>
  <si>
    <t>First-class AtScale integration via XMLA — and growing Fabric metric capabilities.
AtScale native Power BI connector (XMLA endpoint, compatibility level 1600): Power BI connects in Live Connection mode with full DAX support. AtScale's governed metrics (revenue, margin, volume) are the single source of truth — Power BI consumes, not re-defines.
Fabric Metrics Hub (2025+): Microsoft's own metric layer within Fabric, defining KPIs with owners, units, targets, and status — complements AtScale for Fabric-managed metrics.
dbt Semantic Layer: Power BI does not have a native dbt Semantic Layer (MetricFlow) connector — dbt metrics are accessed via the dbt-connected data source (Databricks/Synapse), not through the MetricFlow API directly.</t>
  </si>
  <si>
    <t>AtScale SQL connector + dbt Semantic Layer support — dual metric layer compatibility.
AtScale Tableau Cloud Connector (OAuth SSO, no Bridge required): Tableau connects live to AtScale's SQL endpoint — AtScale's certified measures and dimensions are available as standard SQL fields. Cleanest setup for Tableau Cloud.
dbt Semantic Layer (MetricFlow): Tableau has an official dbt Semantic Layer connector (2024) — connects to MetricFlow-defined metrics via the dbt Semantic Layer API. If GTF uses dbt for metric definitions, Tableau can query them natively.
Semantic layer co-existence: Tableau can connect to multiple semantic layers (AtScale for operational metrics, dbt for transformational metrics) in separate published data sources.</t>
  </si>
  <si>
    <t>Official documentation:
https://atscale.com/resource/power-bi-live-connection/
https://learn.microsoft.com/en-us/fabric/fundamentals/metrics-hub
https://learn.microsoft.com/en-us/power-bi/connect-data/desktop-directquery-datasets-azure-analysis-services</t>
  </si>
  <si>
    <t>Official documentation:
https://atscale.com/resource/tableau-connector/
https://help.tableau.com/current/pro/desktop/en-us/examples_dbt.htm
https://docs.getdbt.com/docs/use-dbt-semantic-layer/tableau</t>
  </si>
  <si>
    <t>Tie — both integrate well with AtScale; Tableau has dbt Semantic Layer advantage.
Power BI's XMLA Live Connection to AtScale delivers the richest model fidelity (pre-formed schema, hierarchies, certified measures via DAX). Tableau's AtScale SQL connector is equally capable and is AtScale's most mature 'out-of-the-box' integration per AtScale's documentation.
If GTF uses dbt for metric management alongside AtScale, Tableau's native dbt Semantic Layer connector is a differentiator Power BI currently lacks.
For GTF (AtScale is the primary semantic layer, no dbt Semantic Layer): TIE.
Advantage: TIE for AtScale-only; TABLEAU if dbt Semantic Layer is also used.</t>
  </si>
  <si>
    <t>Ability to govern and version the semantic model independently of reports</t>
  </si>
  <si>
    <t>AtScale handles model versioning. Validate that BI reports do not break silently when AtScale model changes (renamed measure, removed dimension).</t>
  </si>
  <si>
    <t>Strong native Git integration for Power BI semantic models (GA 2024).
Fabric/Power BI Git integration: semantic model (.bim / TMDL) and report (report.json) stored as files in Azure DevOps or GitHub. Every publish from the Service commits to the branch; branch pull updates the workspace. Standard Git workflows (branch, PR, merge, revert) apply to BI content.
Deployment pipelines: structured Dev → Test → Prod promotion with per-stage data source override rules — separates environment concerns from model versioning.
AtScale semantic model versioning: AtScale governs its own model version independently. Power BI Live Connection picks up AtScale model changes automatically — no Power BI model republish needed when AtScale measures update.</t>
  </si>
  <si>
    <t>No native Git integration — relies on revision history and third-party tools.
Tableau revision history: Server/Cloud stores the last N published versions of each workbook and data source (configurable N) — lightweight rollback per item. Not true version control: no branching, no diff, no PR workflow.
Content Migration Tool: moves workbooks/data sources between projects/sites/servers — useful for environment promotion (dev → prod) but not version control.
Third-party Git integration: Broadcom Catalyst Tableau Extension, ZAP BI's Tableau Git — enable committing .twb/.twbx to Git repos. Not native; requires external tooling and process discipline.
AtScale model changes: Tableau's SQL connection to AtScale picks up schema changes automatically (new columns/measures appear); no workbook republish needed for pure AtScale metadata changes.</t>
  </si>
  <si>
    <t>Official documentation:
https://learn.microsoft.com/en-us/power-bi/developer/projects/projects-git
https://learn.microsoft.com/en-us/power-bi/create-reports/deployment-pipelines-overview
https://learn.microsoft.com/en-us/power-bi/developer/projects/projects-overview</t>
  </si>
  <si>
    <t>Official documentation:
https://help.tableau.com/current/server/en-us/revision_history_admin.htm
https://help.tableau.com/current/server/en-us/cmt-intro.htm
https://help.tableau.com/current/server/en-us/tp_about.htm</t>
  </si>
  <si>
    <t>Power BI wins on semantic model version control.
Power BI's native Git integration (GA 2024) brings full branch/PR/merge workflows to semantic model and report files — standard software engineering practices applied to BI content. Deployment pipelines enforce Dev → Test → Prod promotion with governance gates.
Tableau's revision history is a lightweight rollback tool, not version control. Native Git for Tableau content requires third-party tooling and process enforcement — not built into the platform.
For GTF with multiple developers working on the BI layer simultaneously (franchise reports, brand analytics, catering): Git-based branching prevents content conflicts and enables code review of DAX measures.
Advantage: POWER BI — native Git integration + deployment pipelines vs Tableau's revision history only.</t>
  </si>
  <si>
    <t>Support for composite models (mixing live and imported data)</t>
  </si>
  <si>
    <t>If analyst Excel uploads must combine with AtScale data, validate composite model support. Power BI composite models (DirectQuery + Import) vs Tableau data blending.</t>
  </si>
  <si>
    <t>Data type handling and implicit vs. explicit conversion behavior</t>
  </si>
  <si>
    <t>MDX type semantics differ from SQL/DAX. Validate that decimals, dates, and currencies survive the AtScale → BI-tool boundary without silent precision loss in P&amp;L numbers.</t>
  </si>
  <si>
    <t>10. Embedded Analytics</t>
  </si>
  <si>
    <t>Embedding via iFrame, JavaScript SDK, or REST API</t>
  </si>
  <si>
    <t>Out of scope — internal BI use case, not embedded analytics.</t>
  </si>
  <si>
    <t>Row-level security propagation in embedded context</t>
  </si>
  <si>
    <t>White-labeling and full UI customization for embedded scenarios</t>
  </si>
  <si>
    <t>Token-based authentication for embedded sessions (no vendor login required)</t>
  </si>
  <si>
    <t>Licensing model for embedded usage (app-owns-data vs. user-owns-data)</t>
  </si>
  <si>
    <t>Interaction API for programmatic control of filters and visuals</t>
  </si>
  <si>
    <t>Performance of embedded reports at scale</t>
  </si>
  <si>
    <t>Cross-origin (CORS) and Content Security Policy (CSP) compliance</t>
  </si>
  <si>
    <t>Support for embedding in mobile apps (iOS/Android)</t>
  </si>
  <si>
    <t>Analytics portal pattern support (multi-tenant embedded deployments)</t>
  </si>
  <si>
    <t>11. Extensibility &amp; Developer Ecosystem</t>
  </si>
  <si>
    <t>REST API coverage (CRUD on reports, datasets, workspaces, users)</t>
  </si>
  <si>
    <t>Webhook and event-driven integration support</t>
  </si>
  <si>
    <t>Custom visual development framework and marketplace</t>
  </si>
  <si>
    <t>CLI tooling for automation and scripting</t>
  </si>
  <si>
    <t>SDK availability and language support (Python, .NET, JavaScript, REST)</t>
  </si>
  <si>
    <t>Third-party extension ecosystem maturity</t>
  </si>
  <si>
    <t>Programmatic report generation (templating, parameterized reports)</t>
  </si>
  <si>
    <t>Integration with orchestration tools (Azure Data Factory, Airflow, dbt)</t>
  </si>
  <si>
    <t>ADF already orchestrates upstream (Databricks → AtScale). Validate whether ADF can trigger BI dataset/extract refresh too, or whether each tool's scheduler is preferred.</t>
  </si>
  <si>
    <t>Community-contributed connectors and visuals quality and maintenance</t>
  </si>
  <si>
    <t>Developer documentation quality and completeness</t>
  </si>
  <si>
    <t>12. Vendor Maturity &amp; Ecosystem</t>
  </si>
  <si>
    <t>Gartner Magic Quadrant / Forrester Wave positioning and trajectory</t>
  </si>
  <si>
    <t>Product release cadence and public roadmap transparency</t>
  </si>
  <si>
    <t>Power BI ships monthly; Tableau quarterly. Track whether AtScale connector improvements appear on each roadmap.</t>
  </si>
  <si>
    <t>Vendor financial stability and long-term viability</t>
  </si>
  <si>
    <t>Size and activity of community (forums, Stack Overflow, GitHub)</t>
  </si>
  <si>
    <t>Training and certification program availability and industry recognition</t>
  </si>
  <si>
    <t>Affects hiring/upskilling cost in TCO. GTF likely has more Power BI skills in-house given the Microsoft stack.</t>
  </si>
  <si>
    <t>Partner ecosystem for implementation and support</t>
  </si>
  <si>
    <t>User group and conference ecosystem (Tableau Conference, Microsoft Fabric Community)</t>
  </si>
  <si>
    <t>Support tier options (standard, premier, dedicated TAM)</t>
  </si>
  <si>
    <t>Responsiveness to enterprise support tickets</t>
  </si>
  <si>
    <t>History of backward compatibility and migration support during major version changes</t>
  </si>
  <si>
    <t>13. Mobile &amp; Accessibility</t>
  </si>
  <si>
    <t>Native mobile app availability (iOS and Android)</t>
  </si>
  <si>
    <t>Franchise managers/field staff likely consume on mobile. Validate that AtScale-backed reports render acceptably in each tool's mobile app with RLS intact.
Clarifying questions:
  • Will franchise managers or field staff consume reports on phones/tablets?
  • Rough split between mobile vs desktop consumers?
  • Are devices company-issued (MDM-controlled) or BYOD?</t>
  </si>
  <si>
    <t>Responsive layout design vs. dedicated mobile layout authoring</t>
  </si>
  <si>
    <t>Authoring overhead — Power BI requires a separate mobile layout per report; Tableau supports device-specific layouts. Estimate effort delta for franchise dashboards.
Clarifying questions:
  • If mobile is in scope, do all reports need a mobile layout, or only a small set of priority dashboards?
  • Is a desktop layout on a tablet acceptable, or must mobile be a tailored experience?</t>
  </si>
  <si>
    <t>Offline report access on mobile</t>
  </si>
  <si>
    <t>Touch-optimized interaction design</t>
  </si>
  <si>
    <t>Push notification support for alerts on mobile</t>
  </si>
  <si>
    <t>WCAG 2.1 AA compliance for accessibility</t>
  </si>
  <si>
    <t>Keyboard navigation support in desktop and web interfaces</t>
  </si>
  <si>
    <t>Screen reader compatibility (NVDA, JAWS, VoiceOver)</t>
  </si>
  <si>
    <t>Color contrast and color-blind safe defaults</t>
  </si>
  <si>
    <t>Accessibility audit tooling or built-in checker</t>
  </si>
  <si>
    <t>14. Interoperability &amp; Standards</t>
  </si>
  <si>
    <t>ODBC/JDBC connectivity for third-party tool access</t>
  </si>
  <si>
    <t>AtScale exposes standard endpoints. No AtScale-specific angle — evaluate as native tool capability via vendor documentation.</t>
  </si>
  <si>
    <t>OData endpoint exposure for report data consumption</t>
  </si>
  <si>
    <t>Compatibility with enterprise metadata catalogs (Microsoft Purview, Alation, Collibra, Atlan)</t>
  </si>
  <si>
    <t>Export formats supported (PDF, Excel, CSV, PNG, PowerPoint)</t>
  </si>
  <si>
    <t>Maps to #7 (export) and #8 (snapshot delivery). Validate that exports preserve formatting for P&amp;L matrices and large detail-row reports.</t>
  </si>
  <si>
    <t>Open standard support (Apache Arrow, XMLA endpoint, ANSI SQL)</t>
  </si>
  <si>
    <t>CRITICAL — XMLA is the protocol AtScale exposes for semantic-layer consumption. Validate XMLA fidelity in both tools (does each speak full MDX/DAX over XMLA, or is functionality reduced?).</t>
  </si>
  <si>
    <t>Integration with data catalog and data dictionary platforms</t>
  </si>
  <si>
    <t>Compatibility with ETL/ELT tools (Informatica, Talend, Fivetran, dbt)</t>
  </si>
  <si>
    <t>ETL is upstream of AtScale. No AtScale-specific angle — evaluate as native tool capability via vendor documentation.</t>
  </si>
  <si>
    <t>Cross-tool report migration tooling availability</t>
  </si>
  <si>
    <t>Migrating existing Power BI reports to Tableau is a real one-time cost if Tableau wins. Survey available migration tools, manual effort, and report-by-report rewrite estimates.
Clarifying questions:
  • How many existing Power BI reports are in production?
  • Of those, how many are critical (must migrate) vs disposable (can rebuild)?
  • Are PBIX source files and semantic model documentation available?</t>
  </si>
  <si>
    <t>Support for industry-specific data standards (FHIR for healthcare, XBRL for finance)</t>
  </si>
  <si>
    <t>Not applicable to franchise/F&amp;B reporting.</t>
  </si>
  <si>
    <t>API versioning and deprecation policy</t>
  </si>
  <si>
    <t>15. Self-Service &amp; Authoring Experience</t>
  </si>
  <si>
    <t>Drag-and-drop report building without SQL or coding knowledge</t>
  </si>
  <si>
    <t>Capable — well-suited for non-technical report authors with proper training.
Power BI Desktop: drag fields from the Fields pane onto a canvas; Power BI suggests chart types via the Visualizations pane. Auto-detect relationships on data load. Quick measures: guided measure creation for 20+ common patterns (YTD totals, running totals, period-over-period) without writing DAX.
Q&amp;A natural language visual: type a question in plain English to auto-generate a visual. Note: classic Q&amp;A is being retired in December 2026; Copilot is the recommended natural-language path going forward.
Copilot (Fabric): natural language to DAX measure and visual creation (2024+) — further reduces code requirements.
Web authoring: basic report edits in the browser (Power BI Service) without Desktop install.</t>
  </si>
  <si>
    <t>Industry-leading drag-and-drop experience — Tableau is the gold standard for self-service authoring.
Tableau Desktop: drag fields to Rows, Columns, Marks; Show Me recommends the best chart type from selected fields. Field types auto-detected; date fields auto-drill hierarchy. Widely regarded as the most intuitive authoring experience in the BI market.
Ask Data (now Tableau Pulse / Einstein): natural language query directly in the browser — no Desktop needed.
Web authoring (Tableau Cloud/Server): supports core report building without installing Desktop — more capable than Power BI's web editor.
Limitation: Tableau Desktop has a steeper initial learning curve than Power BI Desktop for users new to the Rows/Columns mental model.</t>
  </si>
  <si>
    <t>Official documentation:
https://learn.microsoft.com/en-us/power-bi/fundamentals/desktop-getting-started
https://learn.microsoft.com/en-us/power-bi/fundamentals/service-get-started
https://learn.microsoft.com/en-us/power-bi/create-reports/copilot-introduction</t>
  </si>
  <si>
    <t>Official documentation:
https://help.tableau.com/current/pro/desktop/en-us/gettingstarted_overview.htm
https://help.tableau.com/current/pro/desktop/en-us/getstarted_buildmanual_ex1basic.htm
https://help.tableau.com/current/pro/desktop/en-us/desktop_einstein.htm</t>
  </si>
  <si>
    <t>Tie with tool-specific strengths.
Tableau is widely recognised as the most intuitive drag-and-drop authoring experience — Show Me and the Rows/Columns canvas are industry benchmarks for self-service analytics. Power BI Desktop is more approachable for users coming from Excel and Office tooling.
For GTF franchise report builders (non-technical, franchise-level): Power BI's Office familiarity and guided Quick Measures lower the onboarding barrier. For analytical users: Tableau's canvas model is more expressive and familiar
Advantage: TIE — Power BI better for Office-familiar users; Tableau better for analytical self-service.</t>
  </si>
  <si>
    <t>Guided analytics and template-based starting points</t>
  </si>
  <si>
    <t>Natural language query for ad-hoc exploration</t>
  </si>
  <si>
    <t>Strong and rapidly maturing — Copilot is now Power BI's strategic natural-language path.
Copilot for Power BI: a user types a plain-English question ('show catering sales by territory last quarter') and Copilot queries the semantic model and returns a visual answer. Works in both view and edit modes in the Power BI Service, for report authors and report viewers alike.
Ad hoc DAX: Copilot generates DAX on the fly for calculations not already in the model (year-over-year growth, ratios, counts), with a 'How Copilot arrived at this' panel so users can verify the fields and logic used.
Surfaces: an in-report Copilot pane (generally available) for questions about the open report, plus a standalone full-screen Copilot (preview) that finds and interrogates any report/model the user has access to.
Classic Q&amp;A (the older NL visual) still works but is being retired in December 2026 — Copilot is the forward-looking replacement.
Limitation: requires paid Fabric capacity (F2+) or Power BI Premium (P1+) — not available on Pro alone; currently English-only; Copilot data questions run in the Service (Desktop 'coming soon'); cannot yet answer forecasting, anomaly, or key-influencer questions.</t>
  </si>
  <si>
    <t>Strong, but split across two surfaces — Tableau Agent (authoring) and Tableau Pulse (consumption).
Tableau Agent (formerly Einstein Copilot): conversational AI inside authoring — describe a visualization in natural language and Agent builds it, suggests analytical questions, and creates/explains calculated fields. Available in Tableau Desktop (2025.1+), Tableau Cloud (with Tableau+), and Tableau Server (2025.3+) web authoring; governed by the Einstein Trust Layer on Cloud (customer data is not used to train the LLM).
Tableau Pulse: a metrics layer + AI insights platform aimed squarely at non-technical users — they follow metrics and receive LLM-generated, plain-language insight summaries; Enhanced Q&amp;A (Discover) supports conversational NL exploration; proactive digests are pushed by email or Slack. This is the closest match to 'insights come to me without asking an analyst.'
The previous-generation Ask Data and Metrics were retired (Tableau Cloud February 2024 / Tableau Server 2024.2) and replaced by Tableau Pulse.
Limitation: Tableau Pulse is Tableau Cloud only (not on Tableau Server); Tableau Agent requires Tableau+ with 'AI in Tableau' enabled; the NL capability is divided across two products rather than one integrated in-report experience.</t>
  </si>
  <si>
    <t>Official documentation:
https://learn.microsoft.com/en-us/power-bi/create-reports/copilot-introduction
https://learn.microsoft.com/en-us/power-bi/create-reports/copilot-ask-data-question
https://learn.microsoft.com/en-us/power-bi/natural-language/q-and-a-intro</t>
  </si>
  <si>
    <t>Official documentation:
https://help.tableau.com/current/pro/desktop/en-us/desktop_einstein.htm
https://help.tableau.com/current/online/en-us/pulse_intro.htm
https://help.tableau.com/current/online/en-us/ask_data_enable.htm</t>
  </si>
  <si>
    <t>Field suggestion and smart auto-complete during authoring</t>
  </si>
  <si>
    <t>In-tool data preparation and transformation (Power Query, Tableau Prep)</t>
  </si>
  <si>
    <t>Most data prep lives upstream in Databricks/ADF. Light tool-side prep is still useful for ad-hoc — compare Power Query vs Tableau Prep capability and license inclusion.</t>
  </si>
  <si>
    <t>Power Query is the best integrated data prep tool in any BI product.
Power Query (M language): built directly into Power BI Desktop — shape, clean, transform, merge, pivot/unpivot data before it enters the model. 300+ built-in transformation steps via UI; advanced transforms in M code.
Dataflows Gen2 (Fabric): Power Query in the cloud — author reusable ETL flows in the browser without Desktop; outputs land in Fabric Lakehouse/Warehouse or OneLake. Scheduled refresh, incremental load, output destinations configurable.
Computed columns in the model (DAX calculated columns): light transforms at the semantic layer.
Limitation: Power Query is strong but not a replacement for ADF/Databricks for enterprise-scale ETL — suitable for last-mile/self-service quick data shaping.</t>
  </si>
  <si>
    <t>Tableau Prep Builder: purpose-built visual ETL, separate from Desktop.
Tableau Prep Builder: visual drag-and-drop flow editor for cleaning, reshaping, and combining data. Steps: Input → Clean → Join/Union → Aggregate → Pivot → Output (to .hyper, published data source, or database). Included with Creator license.
Published Flows: run on Tableau Server/Cloud on a schedule — equivalent to Dataflows for cloud-based ETL scheduling.
In-workbook transforms: calculated fields, Unions (append), cross-database joins in the data source editor for light transforms without leaving Desktop.
Limitation: Prep is a separate application — context switching between Prep and Desktop adds workflow friction not present in Power BI (single Power Query window within Desktop).</t>
  </si>
  <si>
    <t>Official documentation:
https://learn.microsoft.com/en-us/power-query/power-query-what-is-power-query
https://learn.microsoft.com/en-us/fabric/data-factory/dataflows-gen2-overview
https://learn.microsoft.com/en-us/power-bi/transform-model/desktop-query-overview</t>
  </si>
  <si>
    <t>Official documentation:
https://help.tableau.com/current/prep/en-us/prep_get_started.htm
https://help.tableau.com/current/prep/en-us/prep_conductor_overview.htm
https://help.tableau.com/current/pro/desktop/en-us/data_interpreter.htm</t>
  </si>
  <si>
    <t>Power BI wins on data prep integration and depth.
Power Query is embedded in Power BI Desktop — authors prep and model data in a single application with no tool switching. Dataflows Gen2 extends Power Query to cloud-scale reusable ETL. The M language is more expressive than Tableau Prep's step-based model for complex transforms.
Tableau Prep Builder is visually intuitive and well-designed but is a separate application — workflow breaks between Prep and Desktop add friction. Prep lacks M language equivalents for programmatic transforms.
For GTF's data engineers building franchise-level low level data prep pipelines: Need to have initial learning curve to reduce the friction between Prep Builder and Desktop</t>
  </si>
  <si>
    <t>Undo/redo depth and autosave behavior</t>
  </si>
  <si>
    <t>Governed self-service model — ability to expose certified datasets for user-built reports</t>
  </si>
  <si>
    <t>The AtScale-as-certified-source pattern is the architectural bet. Validate how each BI tool exposes AtScale as the certified base for analyst-built reports.</t>
  </si>
  <si>
    <t>Best-in-class governed self-service via certified semantic model reuse.
Workflow: data engineers publish and certify a semantic model (connected to AtScale); business analysts browse the Data Hub → select the certified model → connect via Live Connection → build reports against governed measures/dimensions without any SQL or raw data access.
RLS inherited automatically: the connecting report respects the certified model's row-level security without extra configuration.
Endorsement levels: Promoted (team-level quality) and Certified (org-level quality) — two tiers of trust visible to all report authors.
Author bypass risk: a report author can choose to connect directly to AtScale (bypassing the certified model) — mitigate by restricting AtScale connection strings to data engineers via network policy or Entra Conditional Access.</t>
  </si>
  <si>
    <t>Governed self-service via published data sources and Virtual Connections.
Workflow: data stewards publish a certified data source connected to AtScale; analysts connect to the certified data source in Desktop/web authoring; they build visualizations against governed fields without writing SQL.
Virtual Connections + Data Policies (Data Management add-on): certified connection with RLS policies enforced centrally — tightest governance but requires the add-on license.
Certification badge: visible in search and Tableau Catalog; data quality warnings surface stale/unreliable sources.
Author bypass risk: analysts can connect directly to AtScale's SQL endpoint from Desktop — mitigate with network policy or by requiring use of published data sources via site admin settings.</t>
  </si>
  <si>
    <t>Official documentation:
https://learn.microsoft.com/en-us/power-bi/collaborate-share/service-endorse-content
https://learn.microsoft.com/en-us/power-bi/connect-data/service-datasets-understand
https://learn.microsoft.com/en-us/power-bi/connect-data/service-datasets-discover-across-workspaces</t>
  </si>
  <si>
    <t>Official documentation:
https://help.tableau.com/current/server/en-us/datasource_certified.htm
https://help.tableau.com/current/server/en-us/dm_vconn_overview.htm
https://help.tableau.com/current/online/en-us/rls_options_overview.htm</t>
  </si>
  <si>
    <t>Sandbox or personal workspace for experimentation without impacting production</t>
  </si>
  <si>
    <t>Complexity gradient — simple reports accessible to novices, advanced features for power users</t>
  </si>
  <si>
    <t>Good complexity gradient from consumer to expert author.
Consumer: view/filter reports in Power BI Service (browser or mobile app) — no license required beyond Viewer via App. Zero training needed.
Basic author: Power BI Service web editor — drag fields, apply filters, build simple charts without Desktop install. Quick measures for DAX without syntax.
Intermediate: Power BI Desktop — data modeling, custom DAX, relationships, advanced visuals from AppSource.
Expert: DAX Studio, Tabular Editor, XMLA endpoint, Power Query M, REST API, Embedded SDK.
Copilot bridges beginner → intermediate: NL to DAX reduces the code barrier for non-developers.</t>
  </si>
  <si>
    <t>Best-in-class complexity gradient — Tableau is the industry standard for self-service BI.
Consumer: Tableau Reader (free) or Tableau Server/Cloud Viewer — browse and interact with published dashboards. Ask Data for NL queries.
Basic author: Tableau Public (free) for simple public dashboards; Tableau Cloud web authoring for basic views without Desktop.
Intermediate: Tableau Desktop — Show Me + Marks shelf for standard analytics. Well-documented; large community.
Expert: LOD expressions, table calculations, Tableau Prep flows, Extensions API, Embedded Analytics API, REST API.
Tableau's learning path is steeper initially (Rows/Columns mental model is unfamiliar to Excel users) but the ceiling is very high analytically.</t>
  </si>
  <si>
    <t>Official documentation:
https://learn.microsoft.com/en-us/power-bi/fundamentals/desktop-getting-started
https://learn.microsoft.com/en-us/power-bi/personas/business-user/end-user-consumer
https://learn.microsoft.com/en-us/power-bi/fundamentals/service-self-service-signup-purchase-for-power-bi</t>
  </si>
  <si>
    <t>Official documentation:
https://help.tableau.com/current/pro/desktop/en-us/gettingstarted_overview.htm
https://help.tableau.com/current/online/en-us/web_author.htm
https://www.tableau.com/learn/training/elearning</t>
  </si>
  <si>
    <t>Tie — both offer a learnable gradient from consumer to expert.
Both have large training libraries, community content, and certification paths.
For GTF with a mix of franchise operators (consumers), territory managers (basic authors), and analytics team (expert authors): Power BI is more approachable for Microsoft Office users (Excel mental model, familiar ribbon/field pane); Copilot and Quick Measures reduce DAX barrier. Tableau's visual design model is more expressive for analytical users but has a steeper initial curve.
Advantage: TIE — Power BI slightly more approachable for Office-familiar users; Tableau stronger for analytical self-service ceiling.</t>
  </si>
  <si>
    <t>In-product help, tutorials, and contextual guidance</t>
  </si>
  <si>
    <t>16. Report Consumption &amp; Alerting</t>
  </si>
  <si>
    <t>Data-driven alerts on threshold breaches (KPI alerts)</t>
  </si>
  <si>
    <t>Scheduled email subscriptions with report snapshots</t>
  </si>
  <si>
    <t>Maps to #8. Validate per-franchise filtered email delivery — Power BI subscriptions + Power Automate vs Tableau Subscriptions + custom logic.</t>
  </si>
  <si>
    <t>Most capable subscription system in the comparison — direct GTF requirement.
Standard subscriptions: email delivery of a report page as PDF/PPTX/PNG on a schedule (hourly, daily, weekly, monthly). Can send 'only when data changes.' Supports multiple recipients per subscription.
Dynamic per-recipient subscriptions (Premium/Fabric): one subscription + a mapping semantic model (columns: email, filter value, optional subject) → Power BI reads the mapping at send time and delivers a differently filtered snapshot to each recipient. Designed specifically for franchise/territory bursting.
Paginated report subscriptions (Premium): pixel-perfect PDF or Excel attachment per schedule. Parameters can be per-recipient rows in the mapping dataset — true data-driven subscription.
Recipient cap: 1,000 rows in the dynamic mapping dataset per subscription.</t>
  </si>
  <si>
    <t>Basic subscriptions — one content set per schedule; no native per-recipient filtering.
View/workbook subscriptions: email delivery of a view or workbook as PDF or PNG on a configured schedule. Recipients all receive the same content (with their individual RLS applied if configured).
'Only when data changes': available on Tableau Cloud (checks at send time; skips if view unchanged).
Workbook-level vs view-level: subscribe to a full workbook (all sheets) or a specific view.
Per-recipient bursting: not a native feature — requires REST API scripting (loop over recipients, apply URL filters, send email) or third-party tools (ChristianSteven, Rollstack, Informer).
Data-Driven Alerts: threshold-based notification (not a report snapshot) — complementary to subscriptions.</t>
  </si>
  <si>
    <t>Official documentation:
https://help.tableau.com/current/pro/desktop/en-us/subscribe_user.htm
https://help.tableau.com/current/server/en-us/subscribe.htm
https://help.tableau.com/current/server/en-us/data_alerts.htm</t>
  </si>
  <si>
    <t>Power BI wins decisively — this is a core GTF client must-have.
The 'Robots' requirement (automated per-franchise filtered email delivery) is a native Power BI Premium feature via dynamic subscriptions. Configure once with a franchise-email mapping dataset; Power BI handles the rest with no ongoing engineering.
Tableau has no equivalent native capability — per-recipient bursting requires building a REST API loop or purchasing a third-party bursting tool. For GTF with potentially hundreds of franchise recipients, that is significant ongoing maintenance.
Advantage: POWER BI — dynamic per-recipient subscriptions are a native platform feature (Premium); Tableau requires custom engineering or third-party software.</t>
  </si>
  <si>
    <t>Personalized filter state persistence per user</t>
  </si>
  <si>
    <t>Maps to #5 (Bookmarks equivalent). Validate per-user filter persistence: Power BI Personal Bookmarks vs Tableau Custom Views.</t>
  </si>
  <si>
    <t>Personal bookmarks for user-saved report state.
Personal bookmarks: up to 20 personal bookmarks per report per user, saved in the Power BI Service. Captures filter state, slicer selections, sort order, and visible/hidden objects — full state snapshot.
'Persist filters' setting (configurable per report by author): when enabled, Power BI automatically restores a user's last filter state when they revisit the report. Users can reset to author-defined defaults via 'Reset to default.'
Limitation: 20-bookmark cap per report per user is restrictive for power users who manage many filter states (territory managers, FBCs).</t>
  </si>
  <si>
    <t>Custom Views — more flexible, no cap, URL-shareable.
Custom Views: users save their current filter/sort/parameter state as a named view on any published report in Tableau Server/Cloud. Set as 'My Default View' — Tableau loads that state automatically on next visit.
No limit on Custom Views per user per workbook.
Shareable: a Custom View can be shared via URL — recipient opens the workbook in that exact saved state. Useful for escalation paths ('see the issue I flagged').
URL parameters: filter state is embedded in the view URL — bookmarkable in the browser natively without using the Custom View feature.</t>
  </si>
  <si>
    <t>Official documentation:
https://learn.microsoft.com/en-us/power-bi/consumer/end-user-bookmarks
https://learn.microsoft.com/en-us/power-bi/create-reports/desktop-bookmarks
https://learn.microsoft.com/en-us/power-bi/consumer/end-user-report-filter</t>
  </si>
  <si>
    <t>Official documentation:
https://help.tableau.com/current/pro/desktop/en-us/customview.htm
https://help.tableau.com/current/server/en-us/custom_views.htm
https://help.tableau.com/current/server/en-us/customview_manage.htm</t>
  </si>
  <si>
    <t>Slight Tableau advantage for consumer state persistence.
Tableau Custom Views have no bookmark cap, are URL-shareable, and function as a default view automatically. Power BI personal bookmarks are capped at 20 — a real limitation for territory managers who track many franchise combinations.
Power BI's 'Persist filters' automatic state restoration is simpler for casual users; Tableau requires explicit Custom View creation.
For GTF's territory managers (complex multi-filter states per region/brand): Tableau's uncapped, shareable Custom Views are more operationally flexible.
Advantage: TABLEAU — uncapped custom views with URL sharing; Power BI's 20-bookmark limit is constraining for power users.</t>
  </si>
  <si>
    <t>In-report commenting and collaborative annotation</t>
  </si>
  <si>
    <t>Print and export options for consumers (not just authors)</t>
  </si>
  <si>
    <t>Maps to #7. Consumers (franchisees) need self-serve export, not just authors. Validate consumer-side export controls in both tools.</t>
  </si>
  <si>
    <t>Comprehensive consumer-facing export — especially strong with paginated reports.
Standard reports: consumers can Export to PDF (full report), PPTX (PowerPoint), or PNG. Underlying data: CSV or XLSX (30K / 150K row caps respectively). 'Download as PDF' respects report theme and visual layout.
Paginated reports (Premium): consumer exports to PDF (pixel-perfect, headers/footers), Excel (formatted with formulas preserved), CSV, Word, PowerPoint, or image. Accessible PDF (tagged) for screen-reader compliance.
Print: standard browser print dialog from Power BI Service for quick printing.
Author-controlled export: report author can disable export options per report if data sensitivity requires.</t>
  </si>
  <si>
    <t>Good consumer export options for interactive reports.
View/Dashboard: Download PDF (view-level or full dashboard), PNG (image), CSV (underlying data as crosstab), Excel (crosstab, removes formatting).
Workbook: Download TWBX, PDF (multi-sheet), or Crosstab (single sheet to Excel).
No native PowerPoint export — PDF is the closest; conversion to PPTX requires external tooling.
No Word/docx or accessible PDF (tagged) export.
Print: browser print from the Service for quick printing.
Author control: permissions model controls whether Viewer role can download data (Download capability can be revoked per project).</t>
  </si>
  <si>
    <t>Official documentation:
https://learn.microsoft.com/en-us/power-bi/consumer/end-user-export
https://learn.microsoft.com/en-us/power-bi/paginated-reports/report-builder/export-reports
https://learn.microsoft.com/en-us/power-bi/consumer/end-user-print</t>
  </si>
  <si>
    <t>Official documentation:
https://help.tableau.com/current/pro/desktop/en-us/save_export.htm
https://help.tableau.com/current/pro/desktop/en-us/export_printpdf.htm
https://help.tableau.com/current/server/en-us/permissions_capabilities.htm</t>
  </si>
  <si>
    <t>Power BI wins on export format richness.
Power BI paginated reports deliver PDF, Excel (formatted), Word, PowerPoint, and accessible PDF from a single report template — covers GTF's catering detail report, executive summary PPTX, and Excel data extract use cases in one tool.
Tableau's consumer export covers PDF, PNG, CSV, Excel — adequate for dashboard snapshots but lacks native PowerPoint and Word formats, and has no accessible PDF for compliance.
For GTF franchise operators who print/export catering order details: Power BI paginated reports are purpose-built; Tableau requires workarounds.
Advantage: POWER BI — broader format set (PPTX, Word, accessible PDF) via paginated reports.</t>
  </si>
  <si>
    <t>Bookmark and personal view saving</t>
  </si>
  <si>
    <t>Direct match to client requirement #5. Compare Power BI Bookmarks (page-level state) vs Tableau Custom Views (filter/sort state) — feature-by-feature parity check.</t>
  </si>
  <si>
    <t>Two-tier bookmark system — author and personal bookmarks coexist.
Author bookmarks: designed into the report by the author; capture full page state (filters, slicers, sort, visibility of every object). Presented as a navigation list or triggered by buttons/images. Support interactive UX patterns (show/hide panels, toggle views, guided storytelling).
Personal bookmarks (consumer): up to 20 per report per user; override the author's published state with the user's own filter/sort preferences. Show alongside or instead of author bookmarks.
Selection pane: author uses this to precisely control which objects each bookmark shows/hides — enables sophisticated modal-popup UX within a report page.
Limitation: 20 personal bookmark cap; author must use 'Update' to re-capture state after any layout change.</t>
  </si>
  <si>
    <t>Custom Views for consumer state saving; no author bookmark equivalent for visibility control.
Custom Views: consumer-created named saves of filter/sort/parameter state; uncapped; set as default; URL-shareable. Functionally equivalent to Power BI personal bookmarks with no cap.
Author-created navigation: Dashboard buttons (Go to Sheet), Show/Hide button containers (manually triggered), Dynamic Zone Visibility (programmatically show/hide sheet zones via a boolean field), Sheet swapping via parameter — assembles bookmark-like UX from multiple features. More complex to build than Power BI's bookmark + Selection pane workflow.
No single 'author bookmark' that captures object visibility + filters in one click — must orchestrate Dynamic Zone Visibility + parameters separately.</t>
  </si>
  <si>
    <t>Official documentation:
https://learn.microsoft.com/en-us/power-bi/create-reports/desktop-bookmarks
https://learn.microsoft.com/en-us/power-bi/consumer/end-user-bookmarks
https://learn.microsoft.com/en-us/power-bi/create-reports/desktop-selection-pane</t>
  </si>
  <si>
    <t>Official documentation:
https://help.tableau.com/current/pro/desktop/en-us/customview.htm
https://help.tableau.com/current/pro/desktop/en-us/actions_filter.htm
https://help.tableau.com/current/pro/desktop/en-us/zone_visibility.htm</t>
  </si>
  <si>
    <t>Power BI wins for author-designed interactive UX; Tableau wins for consumer flexibility.
Power BI bookmarks (author-created) are a first-class feature enabling sophisticated one-click UX patterns — show/hide panels, toggle metric views, guided navigation — all built in 10 minutes with Bookmark + Selection pane. No Tableau equivalent matches this simplicity for authors.
Tableau Custom Views are more flexible for consumers (no cap, URL-shareable) and better for users who save many filter states. But assembling a comparable author-UX requires coordinating Dynamic Zone Visibility + parameters + actions — significantly more effort.
Advantage: POWER BI for author-designed bookmark UX; TABLEAU for consumer view flexibility (no cap).</t>
  </si>
  <si>
    <t>Paginated report support for operational/pixel-perfect outputs</t>
  </si>
  <si>
    <t>HIGH — maps to #7 (catering detail). Power BI Paginated Reports (RDL, Premium-gated) vs Tableau (no native paginated equivalent; relies on long worksheets or Tableau Prep flows). Material gap to validate.</t>
  </si>
  <si>
    <t>Clear Power BI strength — and a GTF client must-have already identified.
Paginated Reports (Power BI Report Builder): RDL/SSRS-based engine purpose-built for pixel-perfect, multi-page, printable, large-row operational reports. True pagination: rows flow across pages automatically with repeating column headers, group headers, and page footers.
Unlimited rows: no row-count ceiling — the tablix renders and exports as many rows as the query returns. Tested at millions of rows.
Export: PDF (pixel-perfect), Excel (formatted), CSV, Word, PowerPoint, image, accessible PDF.
Data source: can point directly at AtScale (via XMLA or SQL), a Power BI semantic model, Databricks, or any other ODBC/OLE DB source.
License gate: requires Premium Per User (PPU) or Fabric/Premium capacity for consumers to view paginated reports. No Pro-tier support.</t>
  </si>
  <si>
    <t>Weakest area — no SSRS-style paginated report engine exists in Tableau.
Tableau is built for visualization, not large tabular operational reporting. Text tables can display detail data but render slowly at high row counts and have no true pagination.
Workaround: INDEX() calculated field + 'Page Number' parameter to simulate pagination by filtering to N rows per 'page' — fragile, manually maintained, not print-ready.
Export: Crosstab to Excel (up to Excel's 1M row limit) and CSV for data extraction. PDF export of the view — not a pixel-perfect paginated document.
Third-party: some teams use Logi Analytics, SSRS, or Crystal Reports alongside Tableau for paginated operational reports. Adds another tool to the stack.
For the GTF catering detail report (franchisee-level line-item detail, printable, hundreds of rows per page): Tableau has no adequate native solution.</t>
  </si>
  <si>
    <t>Official documentation:
https://learn.microsoft.com/en-us/power-bi/paginated-reports/paginated-reports-report-builder-power-bi
https://learn.microsoft.com/en-us/power-bi/paginated-reports/report-design/report-parameters-paginated-reports
https://learn.microsoft.com/en-us/power-bi/paginated-reports/report-builder/export-reports</t>
  </si>
  <si>
    <t>Official documentation (workarounds — no native paginated report feature):
https://help.tableau.com/current/pro/desktop/en-us/calculations_calculatedfields_lod.htm
https://help.tableau.com/current/pro/desktop/en-us/export_printpdf.htm
https://community.tableau.com/s/question/0D54T00000C5WobSAF/paginated-reports (community workaround thread)</t>
  </si>
  <si>
    <t>Power BI wins decisively — this is GTF's most critical differentiator.
Power BI Paginated Reports directly address the catering detail report requirement: unlimited rows, true pagination, print-ready PDF with headers/footers, and pixel-perfect layout. This is the SSRS capability GTF currently relies on in the old SSAS architecture.
Tableau has no comparable feature — the closest approximation (INDEX() pagination workaround + Crosstab export) does not meet a professional operational report standard.
If the catering detail report must be produced from the BI tool (not a separate reporting system), Power BI is the only viable choice.
Advantage: POWER BI — decisive, platform-level capability; Tableau gap is fundamental (not a configuration issue).</t>
  </si>
  <si>
    <t>Report embedding in email or intranet portals</t>
  </si>
  <si>
    <t>Companion to #8. Validate inline email embed (image vs interactive link) for both tools.</t>
  </si>
  <si>
    <t>In-app notification center for alerts and updates</t>
  </si>
  <si>
    <t>Performance of report load time for consumers on low-bandwidth connections</t>
  </si>
  <si>
    <t>Franchise locations may have varying network quality. Validate first-paint time and progressive rendering on slow connections.
Clarifying questions:
  • Any specific locations known to have poor or unreliable connectivity?
  • Target SLA for report first-paint time on a slow connection?</t>
  </si>
  <si>
    <t>17. Data Lineage &amp; Audit Trail</t>
  </si>
  <si>
    <t>End-to-end lineage from data source through transformation to visual</t>
  </si>
  <si>
    <t>Lineage spans AtScale + BI tool. Validate whether each tool exposes lineage that integrates with AtScale's lineage (or at minimum surfaces the AtScale model as a single lineage node).</t>
  </si>
  <si>
    <t>Impact analysis — which reports are affected if a dataset changes</t>
  </si>
  <si>
    <t>When AtScale model changes (renamed measure, dropped dim), which BI reports break? Validate impact-analysis tooling in both BI tools and whether it can read AtScale metadata.</t>
  </si>
  <si>
    <t>Column-level lineage visibility</t>
  </si>
  <si>
    <t>Report and dataset usage analytics (who viewed, how often, last accessed)</t>
  </si>
  <si>
    <t>Helps right-size franchise viewer licenses. Compare Power BI usage metrics vs Tableau Server/Cloud usage analytics depth.</t>
  </si>
  <si>
    <t>Integration with enterprise data catalog for lineage federation</t>
  </si>
  <si>
    <t>Audit logs for user activity (logins, report access, data exports, permission changes)</t>
  </si>
  <si>
    <t>Data freshness visibility — last refresh timestamp surfaced to consumers</t>
  </si>
  <si>
    <t>AtScale refresh state must surface in the BI tool so franchise users trust the data. Validate whether each tool shows ‘as of’ timestamps sourced from AtScale (not just BI-tool extract refresh).</t>
  </si>
  <si>
    <t>Stale report detection and notification</t>
  </si>
  <si>
    <t>Lineage graph visualization within the tool</t>
  </si>
  <si>
    <t>Retention policy for audit logs and compliance archival</t>
  </si>
  <si>
    <t>18. Version Control &amp; CI/CD for BI</t>
  </si>
  <si>
    <t>Native Git integration for report and dataset versioning</t>
  </si>
  <si>
    <t>Power BI Fabric (PBIP + Git) is improving rapidly; Tableau requires storing TWBX/TFL files in Git with no native diff. Compare maturity and developer experience.</t>
  </si>
  <si>
    <t>Native Git integration — GA as of 2024, built into Fabric/Power BI Service.
Workspace Git connection: connect any Premium/Fabric workspace to an Azure DevOps or GitHub repository branch. Semantic model files (.bim / TMDL format) and report definition (report.json) are committed automatically on publish. Pull from Git updates the workspace.
Branch-based development: developers work on feature branches; PRs merge to main; workspace syncs from main. Standard GitOps practices now apply to BI content.
Deployment pipelines: Dev → Test → Prod promotion with per-stage data source override rules — the 'release' mechanism complementing Git branching.
Fabric workspace: Fabric items (notebooks, lakehouses, semantic models) all stored as files in OneLake and committable to Git — unified version control across the data platform.</t>
  </si>
  <si>
    <t>No native Git integration — revision history only; third-party tooling for full Git.
Revision history: Tableau Server/Cloud stores the last N published versions of each workbook and data source (N configurable by admin). Authors can revert to any previous version from the web UI. Not version control — no branching, no diff, no PR review.
Content Migration Tool (CMT): migrate workbooks/data sources between projects, sites, or servers — used as a manual promotion workflow (dev site → prod site).
Third-party Git: Broadcom Catalyst Tableau Extension, ZAP BI, community scripts commit .twb/.twbx (XML files) to Git. Requires process discipline; not platform-native.
Limitation: .twb/.twbx files are XML — technically diff-able but Tableau Desktop does not show diffs natively; reviewing changes requires external diff tooling.</t>
  </si>
  <si>
    <t>Official documentation:
https://learn.microsoft.com/en-us/power-bi/developer/projects/projects-git
https://learn.microsoft.com/en-us/power-bi/developer/projects/projects-overview
https://learn.microsoft.com/en-us/power-bi/create-reports/deployment-pipelines-overview</t>
  </si>
  <si>
    <t>Official documentation:
https://help.tableau.com/current/server/en-us/revision_history_admin.htm
https://help.tableau.com/current/server/en-us/cmt-intro.htm
https://github.com/tableau/tableau-migration-sdk (Tableau Migration SDK — open source)</t>
  </si>
  <si>
    <t>Power BI wins clearly on native version control.
Power BI's native Git integration (GA 2024) brings real software engineering practices to BI — branching, PRs, merge reviews, and commit history for semantic models and reports. This enables multiple developers to work simultaneously without content conflicts.
Tableau's revision history is a point-in-time rollback tool, not version control. Native Git for Tableau requires third-party tools and manual process enforcement — not a platform guarantee.
For GTF's multi-developer BI team (brand analytics, franchise performance, catering modules): Git-based branch isolation prevents accidental overwrites and enables code-reviewed DAX changes.
Advantage: POWER BI — native Git integration + deployment pipelines; Tableau relies on revision history only.</t>
  </si>
  <si>
    <t>Branching and merging support for parallel development</t>
  </si>
  <si>
    <t>Deployment pipeline support (dev → test → prod promotion)</t>
  </si>
  <si>
    <t>Power BI Deployment Pipelines (Premium) is mature; Tableau relies on Server projects + manual or API-driven promotion. Significant gap to evaluate.</t>
  </si>
  <si>
    <t>Diff and comparison tooling for BI artifact changes</t>
  </si>
  <si>
    <t>Rollback capability to previous versions</t>
  </si>
  <si>
    <t>Automated testing framework for reports and measures (data validation, regression)</t>
  </si>
  <si>
    <t>CLI or API-driven deployment for pipeline automation</t>
  </si>
  <si>
    <t>Environment variable and parameter management across environments</t>
  </si>
  <si>
    <t>Integration with CI/CD platforms (Azure DevOps, GitHub Actions, Jenkins)</t>
  </si>
  <si>
    <t>Change approval and release gating workflows</t>
  </si>
  <si>
    <t>19. Real-time &amp; Streaming Analytics</t>
  </si>
  <si>
    <t>Support for streaming data ingestion (Kafka, Event Hubs, Kinesis, MQTT)</t>
  </si>
  <si>
    <t>Out of scope — franchise/P&amp;L reporting is not a streaming workload.</t>
  </si>
  <si>
    <t>Push dataset API for real-time dashboard updates</t>
  </si>
  <si>
    <t>DirectQuery mode availability and performance across source types</t>
  </si>
  <si>
    <t>HIGH — live connection to AtScale IS the consumption pattern. Validate Power BI DirectQuery vs Tableau Live Connection semantics against AtScale: query folding, latency, RLS pass-through.</t>
  </si>
  <si>
    <t>DirectQuery and Live Connection are mature and central to the Power BI architecture.
DirectQuery: available for 100+ connector types. Every visual interaction generates a SQL/MDX query sent to the source — no data cached locally. Appropriate when data freshness or volume precludes Import.
Live Connection: to SSAS Tabular, AAS, Power BI semantic models, and Fabric semantic models — the model lives at the source; full DAX is supported (unlike some DirectQuery limitations).
Composite models: mix DirectQuery + Import sources in one model — tables from different sources join in the model layer. Unique Power BI capability. DirectQuery on Power BI semantic models: query another certified semantic model live without copying.
Performance: governed by the source engine. For AtScale: autonomous aggregates deliver near-Import speed for most patterns. Power BI Performance Analyzer + DAX Studio expose query timings.</t>
  </si>
  <si>
    <t>Live Connection is Tableau's primary mode for semantic layer consumption.
Live Connection: Tableau queries the source at view time. Supported for all major relational, cloud DW, and semantic layer sources. No extract required for AtScale — connect live, Tableau sends SQL, AtScale responds.
No concept of 'Import mode' for a semantic layer — Tableau does not cache semantic model data locally (Hyper extracts are data snapshots, not semantic model caches).
No Composite model equivalent: Tableau can join tables within one data source or blend across two data sources — but blending across a live AtScale connection and a local Excel file requires a separate blend (less seamless than Power BI's Composite model).
Performance: governed by AtScale for live connections. Performance Recording + query logs expose query timings per sheet.</t>
  </si>
  <si>
    <t>Official documentation:
https://learn.microsoft.com/en-us/power-bi/connect-data/desktop-use-directquery
https://learn.microsoft.com/en-us/power-bi/connect-data/desktop-composite-models
https://learn.microsoft.com/en-us/power-bi/connect-data/desktop-directquery-datasets-azure-analysis-services</t>
  </si>
  <si>
    <t>Official documentation:
https://help.tableau.com/current/pro/desktop/en-us/live_connection.htm
https://help.tableau.com/current/pro/desktop/en-us/extracting_data.htm
https://help.tableau.com/current/pro/desktop/en-us/perf_record_create_desktop.htm</t>
  </si>
  <si>
    <t>Power BI edge for connection mode flexibility.
Both tools connect live to AtScale and benefit equally from AtScale's autonomous aggregates — query performance on the GTF production workload will be comparable. Power BI's Composite model (mixing live AtScale + local Excel or SQL tables) is a unique differentiator for hybrid data scenarios Tableau cannot match natively.
Power BI's 100+ DirectQuery connectors also give a broader connectivity story for non-AtScale sources.
Advantage: POWER BI for connection mode flexibility (Composite model + Live Connection + DirectQuery mix); TIE for AtScale live query performance.</t>
  </si>
  <si>
    <t>Configurable auto-refresh intervals for near-real-time use cases</t>
  </si>
  <si>
    <t>Most sophisticated near-real-time refresh capability in the comparison.
Automatic page refresh (DirectQuery / Live): configure a report page to auto-query the source every N seconds/minutes — as low as 1 second in Premium. Fixed interval or change detection trigger.
Streaming datasets: push real-time data to a Power BI streaming dataset via REST API; tiles on dashboards update within seconds. No query polling needed.
Hybrid table (Premium): a regular Import table with an additional 'real-time' DirectQuery partition covering the most recent period — combines historical performance with real-time freshness.
Standard scheduled refresh: 8/day (Pro), 48/day (Premium), or unlimited via XMLA programmatic refresh.</t>
  </si>
  <si>
    <t>Limited near-real-time options compared to Power BI.
Extract refresh: minimum 15-minute interval on Tableau Cloud (no sub-15-min extract refresh). On Tableau Server, intervals are admin-configurable but still not second-level.
Live connection: refreshes on user interaction (page load, filter change) — not time-based auto-refresh. Users see current data each time they interact, but the view does not auto-update while they are watching.
No streaming dataset equivalent: Tableau has no native push-streaming ingestion path for real-time tiles.
No automatic page refresh (clock-driven, sub-minute polling) equivalent.
Closest approach: reload browser tab or auto-refresh browser tab via external tooling (not a Tableau feature).</t>
  </si>
  <si>
    <t>Official documentation:
https://learn.microsoft.com/en-us/power-bi/create-reports/desktop-automatic-page-refresh
https://learn.microsoft.com/en-us/power-bi/connect-data/service-real-time-streaming
https://learn.microsoft.com/en-us/power-bi/enterprise/service-premium-incremental-refresh#streaming-dataflows</t>
  </si>
  <si>
    <t>Official documentation:
https://help.tableau.com/current/online/en-us/to_keep_data_fresh.htm
https://help.tableau.com/current/server/en-us/schedule_manage_extract.htm
https://help.tableau.com/current/api/rest_api/en-us/REST/rest_api_ref_jobs_tasks_and_schedules.htm</t>
  </si>
  <si>
    <t>Power BI wins for near-real-time dashboard scenarios.
Power BI's automatic page refresh (down to 1 second in Premium) and streaming datasets support operational dashboards where data changes frequently — franchise order count, live catering board status. Tableau has no equivalent; live connections refresh only on user interaction.
For GTF's typical franchise reporting (daily/weekly financial metrics), neither tool's real-time capability is a differentiator — scheduled refresh is adequate.
If GTF requires live kitchen/catering order monitoring (truly real-time), Power BI is the only viable option from this comparison.
Advantage: POWER BI for near-real-time and sub-minute auto-refresh; TIE for standard daily/weekly scheduled data.</t>
  </si>
  <si>
    <t>Incremental refresh support to reduce full dataset reload overhead</t>
  </si>
  <si>
    <t>Relevant for any imported datasets (analyst extracts on top of AtScale). Validate incremental refresh patterns in both tools.</t>
  </si>
  <si>
    <t>Most sophisticated incremental refresh in the BI market.
Policy-based incremental refresh: define a historical window (e.g., 2 years frozen) and a rolling refresh window (e.g., last 10 days re-processed). Power BI automatically partitions the table and refreshes only the rolling window. Zero partition management code needed — defined via UI in Desktop with RangeStart/RangeEnd parameters.
Near-real-time hybrid table (Premium): adds a DirectQuery partition covering the most recent minutes/hours on top of the historical Import partition — same table combines historical performance with live freshness.
XMLA partition management: advanced pattern using Tabular Editor to programmatically add/delete/merge partitions — enables custom partition strategies beyond the UI-defined policy.</t>
  </si>
  <si>
    <t>Incremental refresh is available but less sophisticated than Power BI.
Append-based incremental refresh: Tableau processes only rows newer than the last refresh timestamp (keyed on a date/integer column). Full refresh replaces all rows; append adds only new rows.
No partition management: Tableau does not partition the extract — the incremental append is applied to the monolithic .hyper file. No frozen historical partition equivalent.
No near-real-time hybrid table: cannot mix a historical extract partition with a live DirectQuery partition in one table.
Minimum increment: a single timestamp-keyed column; no support for multiple partition keys.</t>
  </si>
  <si>
    <t>Official documentation:
https://learn.microsoft.com/en-us/power-bi/enterprise/service-premium-incremental-refresh
https://learn.microsoft.com/en-us/power-bi/enterprise/service-premium-incremental-refresh#hybrid-tables-with-real-time-data
https://learn.microsoft.com/en-us/power-bi/enterprise/service-premium-incremental-refresh#xmla-endpoint</t>
  </si>
  <si>
    <t>Official documentation:
https://help.tableau.com/current/pro/desktop/en-us/extracting_data.htm#refresh-extracts
https://help.tableau.com/current/online/en-us/to_keep_data_fresh.htm
https://help.tableau.com/current/server/en-us/schedule_manage_extract.htm</t>
  </si>
  <si>
    <t>Power BI wins on incremental refresh sophistication.
Power BI's policy-based partition management, hybrid real-time table, and XMLA partition control are significantly more advanced than Tableau's append-based approach. For GTF's large datasets (118M row synthetic dataset + production scale), Power BI's partition strategy means full refreshes never occur — only the recent window is processed.
Tableau's incremental append is adequate for smaller, append-only datasets but does not scale to complex partition management requirements.
For GTF production (multi-year historical catering/sales data + daily new data): Power BI incremental refresh is the more operationally reliable solution.
Advantage: POWER BI — policy-based partition management + hybrid real-time table vs Tableau's append-only incremental.</t>
  </si>
  <si>
    <t>Latency SLA between data event and dashboard update</t>
  </si>
  <si>
    <t>Hybrid mode support (mix of real-time and historical data in one dashboard)</t>
  </si>
  <si>
    <t>Alert triggering on streaming threshold breaches</t>
  </si>
  <si>
    <t>Scalability of real-time connections under concurrent viewer load</t>
  </si>
  <si>
    <t>Compatibility with stream processing platforms (Spark Streaming, Flink, Azure Stream Analytics)</t>
  </si>
  <si>
    <t>20. Localization &amp; Internationalization</t>
  </si>
  <si>
    <t>UI language support and number of available locale translations</t>
  </si>
  <si>
    <t>Out of scope unless franchise geography requires it — confirm with client.
Clarifying questions:
  • Are all consumers expected to use English, or are non-English users in scope?
  • If multi-language, which specific locales must be supported?</t>
  </si>
  <si>
    <t>Locale-aware number, date, and currency formatting</t>
  </si>
  <si>
    <t>Currency/date formatting matters for P&amp;L (#6d) even in a single-locale deployment. Validate that AtScale-sourced numeric measures format correctly in both tools.</t>
  </si>
  <si>
    <t>Right-to-left (RTL) language support (Arabic, Hebrew)</t>
  </si>
  <si>
    <t>Out of scope unless franchise geography requires it — confirm with client.</t>
  </si>
  <si>
    <t>Multi-currency display and conversion handling</t>
  </si>
  <si>
    <t>Out of scope unless franchise geography requires it — confirm with client.
Clarifying questions:
  • Does GTF operate franchises in a single currency or multiple?
  • If multi-currency, is FX conversion handled upstream (AtScale/EDW) or expected at the BI tool?
  • Is a 'reporting currency' (e.g., USD) the standard view, with locale currency optional?</t>
  </si>
  <si>
    <t>195+B89C34A90:B196A88:B196A85:B196A83:B196C34A90:B196A74:B196C34A90:B196A73:B19A8:B196</t>
  </si>
  <si>
    <t>Time zone management for scheduled refreshes and report timestamps</t>
  </si>
  <si>
    <t>Affects refresh schedules (#2) and consumer-facing timestamps. Validate time-zone handling for cross-region franchises if applicable.
Clarifying questions:
  • Are franchises in a single time zone or multiple?
  • Should consumer-facing timestamps be in viewer's local time or one canonical time zone (e.g., HQ)?
  • What time zone should scheduled refreshes and email subscriptions run on?</t>
  </si>
  <si>
    <t>Time zone management is capacity-level in Power BI — limited per-workspace granularity.
Capacity-level time zone: in the Power BI Admin Portal, capacity admins can set the time zone for the entire Premium/Fabric capacity. All scheduled refreshes on that capacity use this time zone.
Scheduled refresh UI: users select their desired refresh time in local time — Power BI converts to UTC for scheduling; displayed back in local time.
Report subscriptions: sender selects delivery time; recipients receive based on the subscription schedule, not their own time zone.
Limitation: no per-workspace or per-report time zone override — all workspaces on the same capacity share the same time zone setting. For global franchises in multiple time zones, this can cause refresh/delivery timing mismatches.</t>
  </si>
  <si>
    <t>More granular time zone control — per-site and per-schedule configurable.
Per-site time zone: Tableau Server and Tableau Cloud allow setting a time zone per site. All extract refreshes and subscriptions on the site respect this setting.
Per-schedule time zone: Tableau Server admin can configure individual refresh schedules in specific time zones — enabling a UK extract to refresh at 2:00 AM UK time while a US extract refreshes at 2:00 AM ET on the same server.
Datetime data handling: Tableau supports 'Extract timezone' for timezone-aware datetime columns — stores timestamps with timezone offset, converts to the viewer's local time zone at render time.
Subscription delivery: configurable per subscription for both time and time zone.</t>
  </si>
  <si>
    <t>Official documentation:
https://learn.microsoft.com/en-us/power-bi/admin/service-admin-portal-capacity-settings
https://learn.microsoft.com/en-us/power-bi/connect-data/refresh-scheduled-refresh
https://learn.microsoft.com/en-us/power-bi/collaborate-share/end-user-subscribe</t>
  </si>
  <si>
    <t>Official documentation:
https://help.tableau.com/current/online/en-us/to_site_general.htm
https://help.tableau.com/current/server/en-us/schedule_add.htm
https://help.tableau.com/current/pro/desktop/en-us/dates_timezones.htm</t>
  </si>
  <si>
    <t>Advantage Tableau for multi-timezone franchise operations.
Tableau's per-site and per-schedule time zone control is meaningfully more granular than Power BI's capacity-level setting. For GTF with franchise operators across US time zones (ET, CT, MT, PT), Tableau can schedule each region's nightly report delivery in their local business hours without affecting other regions.
Power BI's capacity-level time zone requires all workspaces to share the same setting — a meaningful operational constraint for a multi-timezone franchise business.
Advantage: TABLEAU — per-site and per-schedule time zone granularity; Power BI limited to capacity-level time zone.</t>
  </si>
  <si>
    <t>Translation workflow for report labels and field names</t>
  </si>
  <si>
    <t>Regional compliance support (GDPR for EU, PDPA for Thailand, LGPD for Brazil)</t>
  </si>
  <si>
    <t>Out of scope unless franchise geography requires it — confirm with client.
Clarifying questions:
  • In which countries/regions does GTF operate franchises?
  • Which compliance regimes apply (GDPR, PDPA, LGPD, CCPA, etc.)?
  • Are there data-subject rights workflows (DSAR, right-to-be-forgotten) the BI tool must support?</t>
  </si>
  <si>
    <t>Support for non-Latin character sets (CJK, Devanagari, Cyrillic)</t>
  </si>
  <si>
    <t>Locale-specific sorting and collation rules</t>
  </si>
  <si>
    <t>Regional data residency options aligned with localization needs</t>
  </si>
  <si>
    <t>Out of scope unless franchise geography requires it — confirm with client.
Clarifying questions:
  • Must data remain within a specific geography (EU-only, India-only, etc.)?
  • Are there contractual or regulatory data-residency clauses to satisfy?
  • Is it acceptable for the BI tool to cache metadata/extracts outside the data region?</t>
  </si>
  <si>
    <t>Total</t>
  </si>
  <si>
    <t>TOTAL</t>
  </si>
  <si>
    <t>Meaning</t>
  </si>
  <si>
    <t>Must validate during evaluation; directly maps to a client requirement or is critical to the AtScale-driven architecture.</t>
  </si>
  <si>
    <t>Important supporting capability; validate at a lighter depth or rely on vendor documentation.</t>
  </si>
  <si>
    <t>Nice-to-have or already covered upstream by AtScale/Databricks/ADF; document but do not POC.</t>
  </si>
  <si>
    <t>Out of scope for this use case (e.g., embedded analytics, streaming, RTL localization).</t>
  </si>
  <si>
    <t>Discovery Reasoning Label</t>
  </si>
  <si>
    <t>Cases where we need client suggestion</t>
  </si>
  <si>
    <t>Cases where I need official documentation alone as proof</t>
  </si>
  <si>
    <t>Cases where I need to talk to GTF folks for better clarification for Discovery Reasoning</t>
  </si>
  <si>
    <t>Cases where I need to do POC for proof</t>
  </si>
  <si>
    <t>Self-service</t>
  </si>
  <si>
    <t>Modern Requirement of AI era</t>
  </si>
  <si>
    <t>Insight Driven</t>
  </si>
  <si>
    <t xml:space="preserve">Same reporting tool could be used by both internal &amp; external </t>
  </si>
  <si>
    <r>
      <t xml:space="preserve">Power BI Copilot lets users ask plain-English questions inside the report they already use, on the governed AtScale model (RLS respected) — one integrated surface.
Tableau splits this: </t>
    </r>
    <r>
      <rPr>
        <b/>
        <sz val="11"/>
        <color theme="1"/>
        <rFont val="Calibri"/>
        <family val="2"/>
        <scheme val="minor"/>
      </rPr>
      <t>Tableau Agent helps authors build views, while Tableau Pulse pushes AI insight summaries by email/Slack. Pulse fits the client's "don't talk to people for insights" goal well, but is Tableau Cloud-only and separate from the reports</t>
    </r>
    <r>
      <rPr>
        <sz val="11"/>
        <color theme="1"/>
        <rFont val="Calibri"/>
        <family val="2"/>
        <scheme val="minor"/>
      </rPr>
      <t>.
Advantage: POWER BI for pull (ask in-report); TABLEAU (Pulse) for push (delivered digests) — choose by which behaviour GTF wants.</t>
    </r>
  </si>
  <si>
    <t xml:space="preserve">For the GTF AtScale architecture: both tools use Live Connection to AtScale; import/extract mode of AtScale data is impractical at franchise scale. The three-mode flexibility of Power BI is valuable for hybrid sources (e.g., mixing a live AtScale model with a local Excel budget table). Tableau does not support this without a separate data source.
</t>
  </si>
  <si>
    <r>
      <t>Power BI wins for governed self-service without additional licensing.
Power BI certified semantic model + Live Connection enforces governed reuse at the platform level: one certified model → all reports inherit it, RLS included, no extra license.
Tableau's Virtual Connection + Data Policy model is robust but requires the Data Management add-on — additional cost for what Power BI delivers as a standard feature.
For GTF (franchise analysts building territory-level reports on top of the governed AtScale model):</t>
    </r>
    <r>
      <rPr>
        <b/>
        <sz val="11"/>
        <color theme="1"/>
        <rFont val="Calibri"/>
        <family val="2"/>
        <scheme val="minor"/>
      </rPr>
      <t xml:space="preserve"> POWER BI — governed self-service with centralized RLS as a standard feature. Tableau's equivalent centralized governance (Virtual Connections + Data Policies) requires Data Management as a add-on, now bundled in the Tableau Enterprise / Tableau+ edition (no longer a standalone add-on as of Sept 2024).</t>
    </r>
  </si>
  <si>
    <t>GTF's 'robots' (scripts that filter a report per franchise and email it) and bulk franchise onboarding both need a REST API. This validates that Tableau's REST API can: create a project per brand, publish workbooks, add franchise users in bulk, and trigger exports — replacing the Power BI automation pipeline on the new AtScale → Tableau architecture. Maps to client requirement #8.</t>
  </si>
  <si>
    <t>Proven locally — poc_s101_local_demo.py (stdlib Python, no account, no internet):
The script spins up an in-memory mock REST server that implements the real Tableau (and Power BI) URL shapes, then runs 7 Tableau CRUD operations end-to-end: sign in via PAT → create project → publish workbook → read project/workbook lists → add franchise user → delete workbook → delete project. All 7 PASS.
- Tableau REST API: CRUD on projects, workbooks, views, users, subscriptions, permissions
- REST view-PDF/image: export a filtered view per franchise as PDF or PNG via one GET call
- Webhooks: event callbacks (e.g., extract failure alert)
- TSC (tableauserverclient): official Python SDK that wraps the REST API for scripting</t>
  </si>
  <si>
    <t>https://learn.microsoft.com/en-us/rest/api/power-bi/
https://learn.microsoft.com/en-us/power-bi/developer/embedded/export-to
https://learn.microsoft.com/en-us/analysis-services/xmla/xml-elements-methods
Local proof: POC\poc_s101_local_demo.py — 7 Power BI REST shape operations, all PASS</t>
  </si>
  <si>
    <t>GTF's 'robots' deliver the same catering/brand report filtered per franchise and emailed automatically — doing this manually for hundreds of franchises is not scalable. The Tableau equivalent must: (1) generate one scoped report per brand/franchise, and (2) export and deliver it on schedule. Power BI handles this natively via dynamic subscriptions. This item validates whether Tableau's Document API + REST exports can match that workflow. Maps to client requirement #8.</t>
  </si>
  <si>
    <t>https://learn.microsoft.com/en-us/power-bi/create-reports/desktop-templates
https://learn.microsoft.com/en-us/rest/api/power-bi/reports/clone-report-in-group
https://learn.microsoft.com/en-us/power-bi/developer/embedded/export-to
https://learn.microsoft.com/en-us/power-bi/collaborate-share/end-user-subscribe</t>
  </si>
  <si>
    <t>https://tableau.github.io/document-api-python/
https://tableau.github.io/server-client-python/docs/api-ref#workbooks
https://help.tableau.com/current/api/rest_api/en-us/REST/rest_api_ref_workbooks_and_views.htm#query_view_pdf
Local proof: POC\poc_s107_tableau_local.py — 14/14 PASS:
  - 3 brand .twb files generated from CateringReport.twb (13 connections each)
  - Document API behaviour on federated workbooks documented
  - REST view-PDF/image URL shapes validated per brand
  - TSC publish call stub confirmed</t>
  </si>
  <si>
    <t>Power BI advantage: Export API + Power Automate connectors make franchise report delivery near-zero engineering.
Tableau: same capability via TSC scripting — slightly more code but fully capable. REST shapes verified locally.
Verdict: TIE — Power BI edges ahead on turn-key delivery automation; Tableau covers all the same operations via scripting.</t>
  </si>
  <si>
    <t>Power BI: dynamic subscriptions deliver per-franchise filtered PDFs on a schedule with zero ongoing code — set up once, runs forever.
Tableau (POC proved): Document API generates per-brand workbooks from one template (1 → 3 files, all verified). REST view-PDF exports a franchise-filtered PDF per API call. Needs ~30 lines of Python + an external scheduler to replicate the 'robot' workflow.
For GTF's use case: both platforms deliver the same outcome. Power BI is lower-effort post-setup; Tableau requires a maintained script but the full capability is locally proven.
Verdict: POWER BI — native dynamic subscriptions require no scripting. Tableau capable but more DIY.</t>
  </si>
  <si>
    <t>Three first-party paths:
1. .pbit template: open the file, enter a brand name at the prompt, get a scoped report — no scripting at all.
2. REST Clone + Rebind: one API call duplicates a report and points it at a different brand's dataset.
3. Paginated RDL + ExportTo API: render one PDF per franchise with parameter values injected at runtime — the true 'robot' equivalent. Scheduled and zero-maintenance once set up.</t>
  </si>
  <si>
    <t xml:space="preserve">
- Full CRUD: workspaces, datasets, reports, users, subscriptions, permissions
- Export-to-File API: generate PDF/PNG/XLSX for any report with filter parameters applied
- Power Automate: 40+ no-code connectors for scheduling, exporting, alerting — zero scripting needed
- XMLA endpoint (Premium): programmatic semantic model management</t>
  </si>
  <si>
    <t>Proven locally — poc_s107_tableau_local.py (14/14 PASS, pip + Python, no live server):
How Tableau replaces Power BI robots — two modes:
Mode 1 — Per-brand workbook deployment (Document API):
Script copies CateringReport.twb once per brand, then rewrites all 13 data-source connection paths inside the XML to point to that brand's data files. Output: 3 ready-to-open branded .twb files from 1 template. Upload each to its brand project via TSC publish.
Proved: Carvel / Moes / AuntieAnnes .twb files generated, 13 connections repointed and verified per file.
Mode 2 — Per-franchise filtered export (REST, no cloning needed):
One published workbook. Call GET /api/3.21/sites/{siteId}/views/{viewId}/pdf?vf[Brand]=Carvel — Tableau renders and returns a franchise-filtered PDF. Loop this call per franchise in a script, email the result.
Proved: URL/REST shapes validated for all brands.
Gap vs Power BI: no built-in scheduler or 'mapping dataset' for auto-bursting — needs a script loop + external scheduler (cron / Airflow / Azure Data Factory).</t>
  </si>
  <si>
    <t>All five formats available in **Tableau Desktop** without publishing: PDF (File → Print to PDF), PowerPoint (File → Export As PowerPoint), PNG (Worksheet → Export → Image or Dashboard → Export Image), Excel/crosstab (Worksheet → Export → Crosstab to Excel), and CSV (Worksheet → View Data → Export All). Same formats available in Cloud/Server via the Download menu. Note: Excel export is a **crosstab grid** (aggregated presentation format), not a multi-section structured workbook. REST API provides PDF, PNG, and CSV programmatically as a workaround for automation.</t>
  </si>
  <si>
    <t>Official documentation:
https://learn.microsoft.com/en-us/rest/api/power-bi/reports/export-to-file-in-group https://learn.microsoft.com/en-us/power-bi/developer/embedded/export-to
https://learn.microsoft.com/en-us/power-bi/developer/embedded/export-paginated-report</t>
  </si>
  <si>
    <t>Desktop supports only **PDF** natively (File → Export → PDF). PowerPoint and Excel/CSV require publishing to Service first. PNG is not available interactively in Deskto — REST API workaround. All formats available programmatically via the async **ExportTo** REST API.</t>
  </si>
  <si>
    <t>Official documentation:
https://help.tableau.com/current/pro/desktop/en-us/save_export_data.htm
https://help.tableau.com/current/api/rest_api/en-us/REST/rest_api_ref_workbooks_and_views.htm
https://tableau.github.io/server-client-python/</t>
  </si>
  <si>
    <r>
      <t xml:space="preserve">Both tools support all five formats. Key difference: </t>
    </r>
    <r>
      <rPr>
        <b/>
        <sz val="11"/>
        <color theme="1"/>
        <rFont val="Calibri"/>
        <family val="2"/>
        <scheme val="minor"/>
      </rPr>
      <t>Tableau Desktop</t>
    </r>
    <r>
      <rPr>
        <sz val="11"/>
        <color theme="1"/>
        <rFont val="Calibri"/>
        <family val="2"/>
        <scheme val="minor"/>
      </rPr>
      <t xml:space="preserve"> covers all 5 natively without publishing; </t>
    </r>
    <r>
      <rPr>
        <b/>
        <sz val="11"/>
        <color theme="1"/>
        <rFont val="Calibri"/>
        <family val="2"/>
        <scheme val="minor"/>
      </rPr>
      <t>Power BI Desktop</t>
    </r>
    <r>
      <rPr>
        <sz val="11"/>
        <color theme="1"/>
        <rFont val="Calibri"/>
        <family val="2"/>
        <scheme val="minor"/>
      </rPr>
      <t xml:space="preserve"> only covers PDF natively — PowerPoint and Excel/CSV require Service, PNG requires REST API. When Service is included, it's a tie; Tableau ahead on Desktop self-service simplicity. Neither blocks GTF. Verdict: TABLEAU for Desktop self-service; POWER BI for structured Excel + operational delivery via ExportTo API.</t>
    </r>
  </si>
  <si>
    <t>https://help.tableau.com/current/api/rest_api/en-us/REST/rest_api.htm
https://tableau.github.io/server-client-python/
Local proof: POC\poc_s101_local_demo.py — 7 Tableau REST shape operations (sign-in, project, workbook, users, delete), all 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</si>
</sst>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rgb="FFFFFFFF"/>
      <name val="Calibri"/>
      <family val="2"/>
    </font>
    <font>
      <b/>
      <sz val="11"/>
      <color rgb="FF9C0006"/>
      <name val="Calibri"/>
      <family val="2"/>
    </font>
    <font>
      <b/>
      <sz val="11"/>
      <color rgb="FF9C5700"/>
      <name val="Calibri"/>
      <family val="2"/>
    </font>
    <font>
      <b/>
      <sz val="11"/>
      <color rgb="FF595959"/>
      <name val="Calibri"/>
      <family val="2"/>
    </font>
    <font>
      <b/>
      <sz val="11"/>
      <color rgb="FF006100"/>
      <name val="Calibri"/>
      <family val="2"/>
    </font>
    <font>
      <b/>
      <sz val="11"/>
      <name val="Calibri"/>
      <family val="2"/>
    </font>
    <font>
      <b/>
      <sz val="11"/>
      <color rgb="FFFFFFFF"/>
      <name val="Calibri"/>
      <family val="2"/>
      <scheme val="minor"/>
    </font>
    <font>
      <sz val="11"/>
      <color rgb="FF000000"/>
      <name val="Calibri"/>
      <family val="2"/>
      <scheme val="minor"/>
    </font>
    <font>
      <b/>
      <sz val="11"/>
      <color theme="1"/>
      <name val="Calibri"/>
      <family val="2"/>
      <scheme val="minor"/>
    </font>
  </fonts>
  <fills count="21">
    <fill>
      <patternFill patternType="none"/>
    </fill>
    <fill>
      <patternFill patternType="gray125"/>
    </fill>
    <fill>
      <patternFill patternType="solid">
        <fgColor rgb="FF305496"/>
      </patternFill>
    </fill>
    <fill>
      <patternFill patternType="solid">
        <fgColor rgb="FFC6EFCE"/>
      </patternFill>
    </fill>
    <fill>
      <patternFill patternType="solid">
        <fgColor rgb="FFFFEB9C"/>
      </patternFill>
    </fill>
    <fill>
      <patternFill patternType="solid">
        <fgColor rgb="FFFFC7CE"/>
      </patternFill>
    </fill>
    <fill>
      <patternFill patternType="solid">
        <fgColor rgb="FFD9D9D9"/>
      </patternFill>
    </fill>
    <fill>
      <patternFill patternType="solid">
        <fgColor theme="9" tint="0.39997558519241921"/>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6" tint="0.59999389629810485"/>
        <bgColor indexed="64"/>
      </patternFill>
    </fill>
    <fill>
      <patternFill patternType="solid">
        <fgColor theme="8" tint="0.79998168889431442"/>
        <bgColor indexed="65"/>
      </patternFill>
    </fill>
    <fill>
      <patternFill patternType="solid">
        <fgColor theme="6" tint="0.59999389629810485"/>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305496"/>
        <bgColor rgb="FF000000"/>
      </patternFill>
    </fill>
    <fill>
      <patternFill patternType="solid">
        <fgColor theme="6" tint="0.39997558519241921"/>
        <bgColor indexed="64"/>
      </patternFill>
    </fill>
    <fill>
      <patternFill patternType="solid">
        <fgColor theme="5" tint="0.39997558519241921"/>
        <bgColor indexed="64"/>
      </patternFill>
    </fill>
    <fill>
      <patternFill patternType="solid">
        <fgColor rgb="FFDAEEF3"/>
        <bgColor rgb="FF000000"/>
      </patternFill>
    </fill>
    <fill>
      <patternFill patternType="solid">
        <fgColor rgb="FFFFFF00"/>
        <bgColor indexed="64"/>
      </patternFill>
    </fill>
    <fill>
      <patternFill patternType="solid">
        <fgColor theme="6" tint="0.79998168889431442"/>
        <bgColor indexed="64"/>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51">
    <xf numFmtId="0" fontId="0" fillId="0" borderId="0" xfId="0"/>
    <xf numFmtId="0" fontId="1" fillId="2" borderId="1" xfId="0" applyFont="1" applyFill="1"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center" vertical="center"/>
    </xf>
    <xf numFmtId="0" fontId="6" fillId="0" borderId="1" xfId="0" applyFont="1" applyBorder="1"/>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0" fillId="7" borderId="0" xfId="0" applyFill="1"/>
    <xf numFmtId="0" fontId="0" fillId="0" borderId="0" xfId="0" applyAlignment="1">
      <alignment vertical="center" wrapText="1"/>
    </xf>
    <xf numFmtId="0" fontId="0" fillId="9" borderId="0" xfId="0" applyFill="1"/>
    <xf numFmtId="0" fontId="0" fillId="8" borderId="0" xfId="0" applyFill="1"/>
    <xf numFmtId="0" fontId="0" fillId="10" borderId="0" xfId="0" applyFill="1"/>
    <xf numFmtId="0" fontId="0" fillId="7" borderId="1" xfId="0" applyFill="1" applyBorder="1" applyAlignment="1">
      <alignment vertical="center" wrapText="1"/>
    </xf>
    <xf numFmtId="0" fontId="1" fillId="2" borderId="2" xfId="0" applyFont="1" applyFill="1" applyBorder="1" applyAlignment="1">
      <alignment horizontal="center" vertical="center" wrapText="1"/>
    </xf>
    <xf numFmtId="0" fontId="7" fillId="15" borderId="2" xfId="0" applyFont="1" applyFill="1" applyBorder="1" applyAlignment="1">
      <alignment wrapText="1"/>
    </xf>
    <xf numFmtId="0" fontId="0" fillId="0" borderId="2" xfId="0" applyBorder="1" applyAlignment="1">
      <alignment horizontal="center" vertical="top"/>
    </xf>
    <xf numFmtId="0" fontId="0" fillId="0" borderId="2" xfId="0" applyBorder="1" applyAlignment="1">
      <alignment vertical="center" wrapText="1"/>
    </xf>
    <xf numFmtId="0" fontId="0" fillId="0" borderId="2" xfId="0" applyBorder="1" applyAlignment="1">
      <alignment vertical="top" wrapText="1"/>
    </xf>
    <xf numFmtId="0" fontId="0" fillId="11" borderId="2" xfId="0" applyFill="1" applyBorder="1" applyAlignment="1">
      <alignment vertical="top" wrapText="1"/>
    </xf>
    <xf numFmtId="0" fontId="0" fillId="16" borderId="2" xfId="0" applyFill="1" applyBorder="1" applyAlignment="1">
      <alignment vertical="top" wrapText="1"/>
    </xf>
    <xf numFmtId="0" fontId="0" fillId="12" borderId="2" xfId="0" applyFill="1" applyBorder="1" applyAlignment="1">
      <alignment vertical="top" wrapText="1"/>
    </xf>
    <xf numFmtId="0" fontId="0" fillId="17" borderId="2" xfId="0" applyFill="1" applyBorder="1" applyAlignment="1">
      <alignment vertical="top" wrapText="1"/>
    </xf>
    <xf numFmtId="0" fontId="0" fillId="0" borderId="2" xfId="0" applyBorder="1"/>
    <xf numFmtId="0" fontId="0" fillId="10" borderId="2" xfId="0" applyFill="1" applyBorder="1" applyAlignment="1">
      <alignment vertical="top" wrapText="1"/>
    </xf>
    <xf numFmtId="0" fontId="0" fillId="13" borderId="2" xfId="0" applyFill="1" applyBorder="1" applyAlignment="1">
      <alignment vertical="top" wrapText="1"/>
    </xf>
    <xf numFmtId="0" fontId="0" fillId="14" borderId="2" xfId="0" applyFill="1" applyBorder="1" applyAlignment="1">
      <alignment vertical="top" wrapText="1"/>
    </xf>
    <xf numFmtId="0" fontId="0" fillId="9" borderId="2" xfId="0" applyFill="1" applyBorder="1" applyAlignment="1">
      <alignment vertical="top" wrapText="1"/>
    </xf>
    <xf numFmtId="0" fontId="0" fillId="7" borderId="2" xfId="0" applyFill="1" applyBorder="1" applyAlignment="1">
      <alignment vertical="top" wrapText="1"/>
    </xf>
    <xf numFmtId="0" fontId="8" fillId="18" borderId="3" xfId="0" applyFont="1" applyFill="1" applyBorder="1" applyAlignment="1">
      <alignment wrapText="1"/>
    </xf>
    <xf numFmtId="0" fontId="1" fillId="2" borderId="1" xfId="0" applyFont="1" applyFill="1" applyBorder="1" applyAlignment="1">
      <alignment horizontal="center" vertical="center" wrapText="1"/>
    </xf>
    <xf numFmtId="0" fontId="2" fillId="5" borderId="2" xfId="0" applyFont="1" applyFill="1" applyBorder="1" applyAlignment="1">
      <alignment horizontal="center" vertical="center"/>
    </xf>
    <xf numFmtId="0" fontId="3" fillId="4" borderId="2" xfId="0" applyFont="1" applyFill="1" applyBorder="1" applyAlignment="1">
      <alignment horizontal="center" vertical="center"/>
    </xf>
    <xf numFmtId="0" fontId="4" fillId="6" borderId="2" xfId="0" applyFont="1" applyFill="1" applyBorder="1" applyAlignment="1">
      <alignment horizontal="center" vertical="center"/>
    </xf>
    <xf numFmtId="0" fontId="5" fillId="3" borderId="2" xfId="0" applyFont="1" applyFill="1" applyBorder="1" applyAlignment="1">
      <alignment horizontal="center" vertical="center"/>
    </xf>
    <xf numFmtId="0" fontId="6" fillId="3" borderId="1" xfId="0" applyFont="1" applyFill="1" applyBorder="1" applyAlignment="1">
      <alignment horizontal="center" vertical="center"/>
    </xf>
    <xf numFmtId="0" fontId="6" fillId="4" borderId="1" xfId="0" applyFont="1" applyFill="1" applyBorder="1" applyAlignment="1">
      <alignment horizontal="center" vertical="center"/>
    </xf>
    <xf numFmtId="0" fontId="6" fillId="5" borderId="1" xfId="0" applyFont="1" applyFill="1" applyBorder="1" applyAlignment="1">
      <alignment horizontal="center" vertical="center"/>
    </xf>
    <xf numFmtId="0" fontId="6" fillId="6" borderId="1" xfId="0" applyFont="1" applyFill="1" applyBorder="1" applyAlignment="1">
      <alignment horizontal="center" vertical="center"/>
    </xf>
    <xf numFmtId="0" fontId="6" fillId="0" borderId="1" xfId="0" applyFont="1" applyBorder="1" applyAlignment="1">
      <alignment horizontal="center" vertical="center"/>
    </xf>
    <xf numFmtId="0" fontId="5"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4" fillId="6" borderId="1" xfId="0" applyFont="1" applyFill="1" applyBorder="1" applyAlignment="1">
      <alignment horizontal="center" vertical="center"/>
    </xf>
    <xf numFmtId="0" fontId="0" fillId="0" borderId="2" xfId="0" applyBorder="1" applyAlignment="1">
      <alignment wrapText="1"/>
    </xf>
    <xf numFmtId="0" fontId="0" fillId="0" borderId="0" xfId="0" applyAlignment="1">
      <alignment wrapText="1"/>
    </xf>
    <xf numFmtId="0" fontId="0" fillId="19" borderId="2" xfId="0" applyFill="1" applyBorder="1"/>
    <xf numFmtId="0" fontId="0" fillId="16" borderId="2" xfId="0" applyFill="1" applyBorder="1" applyAlignment="1">
      <alignment wrapText="1"/>
    </xf>
    <xf numFmtId="0" fontId="0" fillId="0" borderId="1" xfId="0" applyFill="1" applyBorder="1" applyAlignment="1">
      <alignment vertical="center" wrapText="1"/>
    </xf>
    <xf numFmtId="0" fontId="0" fillId="20" borderId="1" xfId="0"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K201"/>
  <sheetViews>
    <sheetView tabSelected="1" zoomScale="80" zoomScaleNormal="80" workbookViewId="0">
      <pane ySplit="1" topLeftCell="A153" activePane="bottomLeft" state="frozen"/>
      <selection pane="bottomLeft" activeCell="F196" sqref="F196"/>
    </sheetView>
  </sheetViews>
  <sheetFormatPr defaultRowHeight="14.5" x14ac:dyDescent="0.35"/>
  <cols>
    <col min="1" max="1" width="6" customWidth="1"/>
    <col min="2" max="2" width="32" customWidth="1"/>
    <col min="3" max="3" width="60" customWidth="1"/>
    <col min="4" max="4" width="12.1796875" bestFit="1" customWidth="1"/>
    <col min="5" max="5" width="91.26953125" bestFit="1" customWidth="1"/>
    <col min="6" max="7" width="55" style="46" customWidth="1"/>
    <col min="8" max="8" width="81.08984375" style="46" customWidth="1"/>
    <col min="9" max="9" width="81.81640625" style="46" customWidth="1"/>
    <col min="10" max="10" width="55" style="46" customWidth="1"/>
    <col min="11" max="11" width="31.7265625" customWidth="1"/>
    <col min="12" max="12" width="26.54296875" customWidth="1"/>
  </cols>
  <sheetData>
    <row r="1" spans="1:11" x14ac:dyDescent="0.35">
      <c r="A1" s="15" t="s">
        <v>0</v>
      </c>
      <c r="B1" s="15" t="s">
        <v>1</v>
      </c>
      <c r="C1" s="15" t="s">
        <v>2</v>
      </c>
      <c r="D1" s="15" t="s">
        <v>3</v>
      </c>
      <c r="E1" s="15" t="s">
        <v>4</v>
      </c>
      <c r="F1" s="16" t="s">
        <v>5</v>
      </c>
      <c r="G1" s="16" t="s">
        <v>6</v>
      </c>
      <c r="H1" s="16" t="s">
        <v>7</v>
      </c>
      <c r="I1" s="16" t="s">
        <v>8</v>
      </c>
      <c r="J1" s="16" t="s">
        <v>9</v>
      </c>
      <c r="K1" s="16" t="s">
        <v>10</v>
      </c>
    </row>
    <row r="2" spans="1:11" ht="72.650000000000006" hidden="1" customHeight="1" x14ac:dyDescent="0.35">
      <c r="A2" s="17">
        <v>1</v>
      </c>
      <c r="B2" s="18" t="s">
        <v>11</v>
      </c>
      <c r="C2" s="19" t="s">
        <v>12</v>
      </c>
      <c r="D2" s="32" t="s">
        <v>13</v>
      </c>
      <c r="E2" s="20" t="s">
        <v>14</v>
      </c>
      <c r="F2" s="19" t="s">
        <v>15</v>
      </c>
      <c r="G2" s="19" t="s">
        <v>16</v>
      </c>
      <c r="H2" s="19" t="s">
        <v>17</v>
      </c>
      <c r="I2" s="19" t="s">
        <v>18</v>
      </c>
      <c r="J2" s="19"/>
      <c r="K2" s="21" t="s">
        <v>19</v>
      </c>
    </row>
    <row r="3" spans="1:11" ht="72.650000000000006" hidden="1" customHeight="1" x14ac:dyDescent="0.35">
      <c r="A3" s="17">
        <v>2</v>
      </c>
      <c r="B3" s="18" t="s">
        <v>11</v>
      </c>
      <c r="C3" s="19" t="s">
        <v>20</v>
      </c>
      <c r="D3" s="32" t="s">
        <v>13</v>
      </c>
      <c r="E3" s="20" t="s">
        <v>21</v>
      </c>
      <c r="F3" s="19" t="s">
        <v>22</v>
      </c>
      <c r="G3" s="19" t="s">
        <v>23</v>
      </c>
      <c r="H3" s="19" t="s">
        <v>24</v>
      </c>
      <c r="I3" s="19" t="s">
        <v>25</v>
      </c>
      <c r="J3" s="19"/>
      <c r="K3" s="21" t="s">
        <v>19</v>
      </c>
    </row>
    <row r="4" spans="1:11" ht="72.650000000000006" hidden="1" customHeight="1" x14ac:dyDescent="0.35">
      <c r="A4" s="17">
        <v>3</v>
      </c>
      <c r="B4" s="18" t="s">
        <v>11</v>
      </c>
      <c r="C4" s="19" t="s">
        <v>26</v>
      </c>
      <c r="D4" s="33" t="s">
        <v>27</v>
      </c>
      <c r="E4" s="20" t="s">
        <v>28</v>
      </c>
      <c r="F4" s="19" t="s">
        <v>29</v>
      </c>
      <c r="G4" s="19" t="s">
        <v>30</v>
      </c>
      <c r="H4" s="19" t="s">
        <v>31</v>
      </c>
      <c r="I4" s="19" t="s">
        <v>32</v>
      </c>
      <c r="J4" s="19"/>
      <c r="K4" s="21" t="s">
        <v>19</v>
      </c>
    </row>
    <row r="5" spans="1:11" ht="101.5" hidden="1" customHeight="1" x14ac:dyDescent="0.35">
      <c r="A5" s="17">
        <v>4</v>
      </c>
      <c r="B5" s="18" t="s">
        <v>11</v>
      </c>
      <c r="C5" s="19" t="s">
        <v>33</v>
      </c>
      <c r="D5" s="32" t="s">
        <v>13</v>
      </c>
      <c r="E5" s="20" t="s">
        <v>34</v>
      </c>
      <c r="F5" s="19" t="s">
        <v>35</v>
      </c>
      <c r="G5" s="19" t="s">
        <v>36</v>
      </c>
      <c r="H5" s="19" t="s">
        <v>37</v>
      </c>
      <c r="I5" s="19" t="s">
        <v>38</v>
      </c>
      <c r="J5" s="19"/>
      <c r="K5" s="21" t="s">
        <v>19</v>
      </c>
    </row>
    <row r="6" spans="1:11" ht="30" hidden="1" customHeight="1" x14ac:dyDescent="0.35">
      <c r="A6" s="17">
        <v>5</v>
      </c>
      <c r="B6" s="18" t="s">
        <v>11</v>
      </c>
      <c r="C6" s="19" t="s">
        <v>39</v>
      </c>
      <c r="D6" s="34" t="s">
        <v>40</v>
      </c>
      <c r="E6" s="20" t="s">
        <v>41</v>
      </c>
      <c r="F6" s="19" t="s">
        <v>42</v>
      </c>
      <c r="G6" s="19" t="s">
        <v>43</v>
      </c>
      <c r="H6" s="19" t="s">
        <v>44</v>
      </c>
      <c r="I6" s="19" t="s">
        <v>18</v>
      </c>
      <c r="J6" s="19"/>
      <c r="K6" s="24"/>
    </row>
    <row r="7" spans="1:11" ht="72.650000000000006" hidden="1" customHeight="1" x14ac:dyDescent="0.35">
      <c r="A7" s="17">
        <v>6</v>
      </c>
      <c r="B7" s="18" t="s">
        <v>11</v>
      </c>
      <c r="C7" s="19" t="s">
        <v>45</v>
      </c>
      <c r="D7" s="32" t="s">
        <v>13</v>
      </c>
      <c r="E7" s="20" t="s">
        <v>46</v>
      </c>
      <c r="F7" s="19" t="s">
        <v>47</v>
      </c>
      <c r="G7" s="19" t="s">
        <v>48</v>
      </c>
      <c r="H7" s="19" t="s">
        <v>49</v>
      </c>
      <c r="I7" s="19" t="s">
        <v>50</v>
      </c>
      <c r="J7" s="19"/>
      <c r="K7" s="21" t="s">
        <v>19</v>
      </c>
    </row>
    <row r="8" spans="1:11" ht="188.5" customHeight="1" x14ac:dyDescent="0.35">
      <c r="A8" s="17">
        <v>7</v>
      </c>
      <c r="B8" s="18" t="s">
        <v>11</v>
      </c>
      <c r="C8" s="19" t="s">
        <v>51</v>
      </c>
      <c r="D8" s="35" t="s">
        <v>52</v>
      </c>
      <c r="E8" s="22" t="s">
        <v>53</v>
      </c>
      <c r="F8" s="19" t="s">
        <v>54</v>
      </c>
      <c r="G8" s="19" t="s">
        <v>55</v>
      </c>
      <c r="H8" s="19" t="s">
        <v>56</v>
      </c>
      <c r="I8" s="19" t="s">
        <v>57</v>
      </c>
      <c r="J8" s="19" t="s">
        <v>673</v>
      </c>
      <c r="K8" s="23" t="s">
        <v>58</v>
      </c>
    </row>
    <row r="9" spans="1:11" ht="87" hidden="1" customHeight="1" x14ac:dyDescent="0.35">
      <c r="A9" s="17">
        <v>8</v>
      </c>
      <c r="B9" s="18" t="s">
        <v>11</v>
      </c>
      <c r="C9" s="19" t="s">
        <v>59</v>
      </c>
      <c r="D9" s="32" t="s">
        <v>13</v>
      </c>
      <c r="E9" s="20" t="s">
        <v>60</v>
      </c>
      <c r="F9" s="19" t="s">
        <v>61</v>
      </c>
      <c r="G9" s="19" t="s">
        <v>62</v>
      </c>
      <c r="H9" s="19" t="s">
        <v>63</v>
      </c>
      <c r="I9" s="19" t="s">
        <v>64</v>
      </c>
      <c r="J9" s="19"/>
      <c r="K9" s="21" t="s">
        <v>19</v>
      </c>
    </row>
    <row r="10" spans="1:11" ht="246.65" customHeight="1" x14ac:dyDescent="0.35">
      <c r="A10" s="17">
        <v>9</v>
      </c>
      <c r="B10" s="18" t="s">
        <v>11</v>
      </c>
      <c r="C10" s="19" t="s">
        <v>65</v>
      </c>
      <c r="D10" s="35" t="s">
        <v>52</v>
      </c>
      <c r="E10" s="28" t="s">
        <v>66</v>
      </c>
      <c r="F10" s="19" t="s">
        <v>67</v>
      </c>
      <c r="G10" s="19" t="s">
        <v>68</v>
      </c>
      <c r="H10" s="19" t="s">
        <v>69</v>
      </c>
      <c r="I10" s="19" t="s">
        <v>70</v>
      </c>
      <c r="J10" s="19" t="s">
        <v>71</v>
      </c>
      <c r="K10" s="19" t="s">
        <v>19</v>
      </c>
    </row>
    <row r="11" spans="1:11" ht="30" hidden="1" customHeight="1" x14ac:dyDescent="0.35">
      <c r="A11" s="17">
        <v>10</v>
      </c>
      <c r="B11" s="18" t="s">
        <v>11</v>
      </c>
      <c r="C11" s="19" t="s">
        <v>72</v>
      </c>
      <c r="D11" s="34" t="s">
        <v>40</v>
      </c>
      <c r="E11" s="20" t="s">
        <v>73</v>
      </c>
      <c r="F11" s="19" t="s">
        <v>74</v>
      </c>
      <c r="G11" s="19" t="s">
        <v>75</v>
      </c>
      <c r="H11" s="19" t="s">
        <v>76</v>
      </c>
      <c r="I11" s="19" t="s">
        <v>77</v>
      </c>
      <c r="J11" s="19"/>
      <c r="K11" s="24"/>
    </row>
    <row r="12" spans="1:11" ht="90" customHeight="1" x14ac:dyDescent="0.35">
      <c r="A12" s="17">
        <v>11</v>
      </c>
      <c r="B12" s="18" t="s">
        <v>78</v>
      </c>
      <c r="C12" s="19" t="s">
        <v>79</v>
      </c>
      <c r="D12" s="35" t="s">
        <v>52</v>
      </c>
      <c r="E12" s="20" t="s">
        <v>21</v>
      </c>
      <c r="F12" s="19" t="s">
        <v>80</v>
      </c>
      <c r="G12" s="19" t="s">
        <v>81</v>
      </c>
      <c r="H12" s="19" t="s">
        <v>82</v>
      </c>
      <c r="I12" s="19" t="s">
        <v>83</v>
      </c>
      <c r="J12" s="19" t="s">
        <v>84</v>
      </c>
      <c r="K12" s="21" t="s">
        <v>19</v>
      </c>
    </row>
    <row r="13" spans="1:11" ht="75" customHeight="1" x14ac:dyDescent="0.35">
      <c r="A13" s="17">
        <v>12</v>
      </c>
      <c r="B13" s="18" t="s">
        <v>78</v>
      </c>
      <c r="C13" s="19" t="s">
        <v>85</v>
      </c>
      <c r="D13" s="35" t="s">
        <v>52</v>
      </c>
      <c r="E13" s="20" t="s">
        <v>21</v>
      </c>
      <c r="F13" s="19" t="s">
        <v>86</v>
      </c>
      <c r="G13" s="19" t="s">
        <v>87</v>
      </c>
      <c r="H13" s="19" t="s">
        <v>88</v>
      </c>
      <c r="I13" s="19" t="s">
        <v>89</v>
      </c>
      <c r="J13" s="19" t="s">
        <v>90</v>
      </c>
      <c r="K13" s="21" t="s">
        <v>19</v>
      </c>
    </row>
    <row r="14" spans="1:11" ht="75" hidden="1" customHeight="1" x14ac:dyDescent="0.35">
      <c r="A14" s="17">
        <v>13</v>
      </c>
      <c r="B14" s="18" t="s">
        <v>78</v>
      </c>
      <c r="C14" s="19" t="s">
        <v>91</v>
      </c>
      <c r="D14" s="32" t="s">
        <v>13</v>
      </c>
      <c r="E14" s="20" t="s">
        <v>21</v>
      </c>
      <c r="F14" s="19" t="s">
        <v>92</v>
      </c>
      <c r="G14" s="19" t="s">
        <v>93</v>
      </c>
      <c r="H14" s="19" t="s">
        <v>94</v>
      </c>
      <c r="I14" s="19" t="s">
        <v>95</v>
      </c>
      <c r="J14" s="19" t="s">
        <v>96</v>
      </c>
      <c r="K14" s="24"/>
    </row>
    <row r="15" spans="1:11" ht="195" customHeight="1" x14ac:dyDescent="0.35">
      <c r="A15" s="17">
        <v>14</v>
      </c>
      <c r="B15" s="18" t="s">
        <v>78</v>
      </c>
      <c r="C15" s="19" t="s">
        <v>97</v>
      </c>
      <c r="D15" s="35" t="s">
        <v>52</v>
      </c>
      <c r="E15" s="22" t="s">
        <v>98</v>
      </c>
      <c r="F15" s="19" t="s">
        <v>99</v>
      </c>
      <c r="G15" s="19" t="s">
        <v>100</v>
      </c>
      <c r="H15" s="19" t="s">
        <v>101</v>
      </c>
      <c r="I15" s="19" t="s">
        <v>102</v>
      </c>
      <c r="J15" s="19" t="s">
        <v>103</v>
      </c>
      <c r="K15" s="21" t="s">
        <v>19</v>
      </c>
    </row>
    <row r="16" spans="1:11" ht="180" customHeight="1" x14ac:dyDescent="0.35">
      <c r="A16" s="17">
        <v>15</v>
      </c>
      <c r="B16" s="18" t="s">
        <v>78</v>
      </c>
      <c r="C16" s="19" t="s">
        <v>104</v>
      </c>
      <c r="D16" s="35" t="s">
        <v>52</v>
      </c>
      <c r="E16" s="22" t="s">
        <v>105</v>
      </c>
      <c r="F16" s="19" t="s">
        <v>106</v>
      </c>
      <c r="G16" s="19" t="s">
        <v>107</v>
      </c>
      <c r="H16" s="19" t="s">
        <v>108</v>
      </c>
      <c r="I16" s="19" t="s">
        <v>109</v>
      </c>
      <c r="J16" s="19" t="s">
        <v>110</v>
      </c>
      <c r="K16" s="21" t="s">
        <v>19</v>
      </c>
    </row>
    <row r="17" spans="1:11" ht="75" customHeight="1" x14ac:dyDescent="0.35">
      <c r="A17" s="17">
        <v>16</v>
      </c>
      <c r="B17" s="18" t="s">
        <v>78</v>
      </c>
      <c r="C17" s="19" t="s">
        <v>111</v>
      </c>
      <c r="D17" s="35" t="s">
        <v>52</v>
      </c>
      <c r="E17" s="25" t="s">
        <v>112</v>
      </c>
      <c r="F17" s="19" t="s">
        <v>113</v>
      </c>
      <c r="G17" s="19" t="s">
        <v>114</v>
      </c>
      <c r="H17" s="19" t="s">
        <v>115</v>
      </c>
      <c r="I17" s="19" t="s">
        <v>116</v>
      </c>
      <c r="J17" s="19" t="s">
        <v>117</v>
      </c>
      <c r="K17" s="21" t="s">
        <v>19</v>
      </c>
    </row>
    <row r="18" spans="1:11" ht="45" customHeight="1" x14ac:dyDescent="0.35">
      <c r="A18" s="17">
        <v>17</v>
      </c>
      <c r="B18" s="18" t="s">
        <v>78</v>
      </c>
      <c r="C18" s="19" t="s">
        <v>118</v>
      </c>
      <c r="D18" s="35" t="s">
        <v>52</v>
      </c>
      <c r="E18" s="22" t="s">
        <v>119</v>
      </c>
      <c r="F18" s="19" t="s">
        <v>120</v>
      </c>
      <c r="G18" s="19" t="s">
        <v>121</v>
      </c>
      <c r="H18" s="19" t="s">
        <v>122</v>
      </c>
      <c r="I18" s="19" t="s">
        <v>123</v>
      </c>
      <c r="J18" s="19" t="s">
        <v>124</v>
      </c>
      <c r="K18" s="24"/>
    </row>
    <row r="19" spans="1:11" ht="30" hidden="1" customHeight="1" x14ac:dyDescent="0.35">
      <c r="A19" s="17">
        <v>18</v>
      </c>
      <c r="B19" s="18" t="s">
        <v>78</v>
      </c>
      <c r="C19" s="19" t="s">
        <v>125</v>
      </c>
      <c r="D19" s="33" t="s">
        <v>27</v>
      </c>
      <c r="E19" s="20" t="s">
        <v>21</v>
      </c>
      <c r="F19" s="19" t="s">
        <v>126</v>
      </c>
      <c r="G19" s="19" t="s">
        <v>127</v>
      </c>
      <c r="H19" s="19" t="s">
        <v>128</v>
      </c>
      <c r="I19" s="19" t="s">
        <v>129</v>
      </c>
      <c r="J19" s="19" t="s">
        <v>130</v>
      </c>
      <c r="K19" s="24"/>
    </row>
    <row r="20" spans="1:11" ht="30" hidden="1" customHeight="1" x14ac:dyDescent="0.35">
      <c r="A20" s="17">
        <v>19</v>
      </c>
      <c r="B20" s="18" t="s">
        <v>78</v>
      </c>
      <c r="C20" s="19" t="s">
        <v>131</v>
      </c>
      <c r="D20" s="32" t="s">
        <v>13</v>
      </c>
      <c r="E20" s="20" t="s">
        <v>21</v>
      </c>
      <c r="F20" s="19" t="s">
        <v>132</v>
      </c>
      <c r="G20" s="19" t="s">
        <v>133</v>
      </c>
      <c r="H20" s="19" t="s">
        <v>134</v>
      </c>
      <c r="I20" s="19" t="s">
        <v>135</v>
      </c>
      <c r="J20" s="19" t="s">
        <v>136</v>
      </c>
      <c r="K20" s="24"/>
    </row>
    <row r="21" spans="1:11" ht="30" hidden="1" customHeight="1" x14ac:dyDescent="0.35">
      <c r="A21" s="17">
        <v>20</v>
      </c>
      <c r="B21" s="18" t="s">
        <v>78</v>
      </c>
      <c r="C21" s="19" t="s">
        <v>137</v>
      </c>
      <c r="D21" s="34" t="s">
        <v>40</v>
      </c>
      <c r="E21" s="20" t="s">
        <v>21</v>
      </c>
      <c r="F21" s="19" t="s">
        <v>138</v>
      </c>
      <c r="G21" s="19" t="s">
        <v>139</v>
      </c>
      <c r="H21" s="19" t="s">
        <v>140</v>
      </c>
      <c r="I21" s="19" t="s">
        <v>141</v>
      </c>
      <c r="J21" s="19" t="s">
        <v>142</v>
      </c>
      <c r="K21" s="24"/>
    </row>
    <row r="22" spans="1:11" ht="104" customHeight="1" x14ac:dyDescent="0.35">
      <c r="A22" s="17">
        <v>21</v>
      </c>
      <c r="B22" s="18" t="s">
        <v>143</v>
      </c>
      <c r="C22" s="19" t="s">
        <v>144</v>
      </c>
      <c r="D22" s="35" t="s">
        <v>52</v>
      </c>
      <c r="E22" s="22" t="s">
        <v>145</v>
      </c>
      <c r="F22" s="45" t="s">
        <v>146</v>
      </c>
      <c r="G22" s="45" t="s">
        <v>147</v>
      </c>
      <c r="H22" s="45" t="s">
        <v>148</v>
      </c>
      <c r="I22" s="45" t="s">
        <v>149</v>
      </c>
      <c r="J22" s="45" t="s">
        <v>150</v>
      </c>
      <c r="K22" s="24" t="s">
        <v>19</v>
      </c>
    </row>
    <row r="23" spans="1:11" ht="203" customHeight="1" x14ac:dyDescent="0.35">
      <c r="A23" s="17">
        <v>22</v>
      </c>
      <c r="B23" s="18" t="s">
        <v>143</v>
      </c>
      <c r="C23" s="19" t="s">
        <v>151</v>
      </c>
      <c r="D23" s="35" t="s">
        <v>52</v>
      </c>
      <c r="E23" s="22" t="s">
        <v>152</v>
      </c>
      <c r="F23" s="45" t="s">
        <v>153</v>
      </c>
      <c r="G23" s="45" t="s">
        <v>154</v>
      </c>
      <c r="H23" s="45" t="s">
        <v>155</v>
      </c>
      <c r="I23" s="45" t="s">
        <v>156</v>
      </c>
      <c r="J23" s="45" t="s">
        <v>157</v>
      </c>
      <c r="K23" s="24" t="s">
        <v>19</v>
      </c>
    </row>
    <row r="24" spans="1:11" ht="217.5" customHeight="1" x14ac:dyDescent="0.35">
      <c r="A24" s="17">
        <v>23</v>
      </c>
      <c r="B24" s="18" t="s">
        <v>143</v>
      </c>
      <c r="C24" s="19" t="s">
        <v>158</v>
      </c>
      <c r="D24" s="35" t="s">
        <v>52</v>
      </c>
      <c r="E24" s="22" t="s">
        <v>159</v>
      </c>
      <c r="F24" s="45" t="s">
        <v>160</v>
      </c>
      <c r="G24" s="45" t="s">
        <v>161</v>
      </c>
      <c r="H24" s="45" t="s">
        <v>162</v>
      </c>
      <c r="I24" s="45" t="s">
        <v>163</v>
      </c>
      <c r="J24" s="45" t="s">
        <v>164</v>
      </c>
      <c r="K24" s="24" t="s">
        <v>19</v>
      </c>
    </row>
    <row r="25" spans="1:11" ht="30" hidden="1" customHeight="1" x14ac:dyDescent="0.35">
      <c r="A25" s="17">
        <v>24</v>
      </c>
      <c r="B25" s="18" t="s">
        <v>143</v>
      </c>
      <c r="C25" s="19" t="s">
        <v>165</v>
      </c>
      <c r="D25" s="32" t="s">
        <v>13</v>
      </c>
      <c r="E25" s="20" t="s">
        <v>21</v>
      </c>
      <c r="F25" s="24"/>
      <c r="G25" s="24"/>
      <c r="H25" s="24"/>
      <c r="I25" s="24"/>
      <c r="J25" s="24"/>
      <c r="K25" s="24"/>
    </row>
    <row r="26" spans="1:11" ht="30" hidden="1" customHeight="1" x14ac:dyDescent="0.35">
      <c r="A26" s="17">
        <v>25</v>
      </c>
      <c r="B26" s="18" t="s">
        <v>143</v>
      </c>
      <c r="C26" s="19" t="s">
        <v>166</v>
      </c>
      <c r="D26" s="33" t="s">
        <v>27</v>
      </c>
      <c r="E26" s="20" t="s">
        <v>21</v>
      </c>
      <c r="F26" s="24"/>
      <c r="G26" s="24"/>
      <c r="H26" s="24"/>
      <c r="I26" s="24"/>
      <c r="J26" s="24"/>
      <c r="K26" s="24"/>
    </row>
    <row r="27" spans="1:11" ht="30" hidden="1" customHeight="1" x14ac:dyDescent="0.35">
      <c r="A27" s="17">
        <v>26</v>
      </c>
      <c r="B27" s="18" t="s">
        <v>143</v>
      </c>
      <c r="C27" s="19" t="s">
        <v>167</v>
      </c>
      <c r="D27" s="32" t="s">
        <v>13</v>
      </c>
      <c r="E27" s="20" t="s">
        <v>21</v>
      </c>
      <c r="F27" s="24"/>
      <c r="G27" s="24"/>
      <c r="H27" s="24"/>
      <c r="I27" s="24"/>
      <c r="J27" s="24"/>
      <c r="K27" s="24"/>
    </row>
    <row r="28" spans="1:11" ht="30" hidden="1" customHeight="1" x14ac:dyDescent="0.35">
      <c r="A28" s="17">
        <v>27</v>
      </c>
      <c r="B28" s="18" t="s">
        <v>143</v>
      </c>
      <c r="C28" s="19" t="s">
        <v>168</v>
      </c>
      <c r="D28" s="33" t="s">
        <v>27</v>
      </c>
      <c r="E28" s="20" t="s">
        <v>169</v>
      </c>
      <c r="F28" s="24"/>
      <c r="G28" s="24"/>
      <c r="H28" s="24"/>
      <c r="I28" s="24"/>
      <c r="J28" s="24"/>
      <c r="K28" s="24"/>
    </row>
    <row r="29" spans="1:11" ht="30" hidden="1" customHeight="1" x14ac:dyDescent="0.35">
      <c r="A29" s="17">
        <v>28</v>
      </c>
      <c r="B29" s="18" t="s">
        <v>143</v>
      </c>
      <c r="C29" s="19" t="s">
        <v>170</v>
      </c>
      <c r="D29" s="33" t="s">
        <v>27</v>
      </c>
      <c r="E29" s="20" t="s">
        <v>171</v>
      </c>
      <c r="F29" s="24"/>
      <c r="G29" s="24"/>
      <c r="H29" s="24"/>
      <c r="I29" s="24"/>
      <c r="J29" s="24"/>
      <c r="K29" s="24"/>
    </row>
    <row r="30" spans="1:11" ht="30" hidden="1" customHeight="1" x14ac:dyDescent="0.35">
      <c r="A30" s="17">
        <v>29</v>
      </c>
      <c r="B30" s="18" t="s">
        <v>143</v>
      </c>
      <c r="C30" s="19" t="s">
        <v>172</v>
      </c>
      <c r="D30" s="33" t="s">
        <v>27</v>
      </c>
      <c r="E30" s="20" t="s">
        <v>21</v>
      </c>
      <c r="F30" s="24"/>
      <c r="G30" s="24"/>
      <c r="H30" s="24"/>
      <c r="I30" s="24"/>
      <c r="J30" s="24"/>
      <c r="K30" s="24"/>
    </row>
    <row r="31" spans="1:11" ht="30" hidden="1" customHeight="1" x14ac:dyDescent="0.35">
      <c r="A31" s="17">
        <v>30</v>
      </c>
      <c r="B31" s="18" t="s">
        <v>143</v>
      </c>
      <c r="C31" s="19" t="s">
        <v>173</v>
      </c>
      <c r="D31" s="34" t="s">
        <v>40</v>
      </c>
      <c r="E31" s="20" t="s">
        <v>174</v>
      </c>
      <c r="F31" s="24"/>
      <c r="G31" s="24"/>
      <c r="H31" s="24"/>
      <c r="I31" s="24"/>
      <c r="J31" s="24"/>
      <c r="K31" s="24"/>
    </row>
    <row r="32" spans="1:11" ht="232" customHeight="1" x14ac:dyDescent="0.35">
      <c r="A32" s="17">
        <v>31</v>
      </c>
      <c r="B32" s="18" t="s">
        <v>175</v>
      </c>
      <c r="C32" s="19" t="s">
        <v>176</v>
      </c>
      <c r="D32" s="35" t="s">
        <v>52</v>
      </c>
      <c r="E32" s="22" t="s">
        <v>177</v>
      </c>
      <c r="F32" s="45" t="s">
        <v>178</v>
      </c>
      <c r="G32" s="45" t="s">
        <v>179</v>
      </c>
      <c r="H32" s="45" t="s">
        <v>180</v>
      </c>
      <c r="I32" s="45" t="s">
        <v>181</v>
      </c>
      <c r="J32" s="45" t="s">
        <v>182</v>
      </c>
      <c r="K32" s="24" t="s">
        <v>58</v>
      </c>
    </row>
    <row r="33" spans="1:11" ht="45" customHeight="1" x14ac:dyDescent="0.35">
      <c r="A33" s="17">
        <v>32</v>
      </c>
      <c r="B33" s="18" t="s">
        <v>175</v>
      </c>
      <c r="C33" s="19" t="s">
        <v>183</v>
      </c>
      <c r="D33" s="35" t="s">
        <v>52</v>
      </c>
      <c r="E33" s="22" t="s">
        <v>184</v>
      </c>
      <c r="F33" s="45" t="s">
        <v>185</v>
      </c>
      <c r="G33" s="45" t="s">
        <v>186</v>
      </c>
      <c r="H33" s="45" t="s">
        <v>187</v>
      </c>
      <c r="I33" s="45" t="s">
        <v>188</v>
      </c>
      <c r="J33" s="45" t="s">
        <v>189</v>
      </c>
      <c r="K33" s="24" t="s">
        <v>19</v>
      </c>
    </row>
    <row r="34" spans="1:11" ht="45" customHeight="1" x14ac:dyDescent="0.35">
      <c r="A34" s="17">
        <v>33</v>
      </c>
      <c r="B34" s="18" t="s">
        <v>175</v>
      </c>
      <c r="C34" s="19" t="s">
        <v>190</v>
      </c>
      <c r="D34" s="35" t="s">
        <v>52</v>
      </c>
      <c r="E34" s="22" t="s">
        <v>191</v>
      </c>
      <c r="F34" s="45" t="s">
        <v>192</v>
      </c>
      <c r="G34" s="45" t="s">
        <v>193</v>
      </c>
      <c r="H34" s="45" t="s">
        <v>194</v>
      </c>
      <c r="I34" s="45" t="s">
        <v>195</v>
      </c>
      <c r="J34" s="45" t="s">
        <v>196</v>
      </c>
      <c r="K34" s="24" t="s">
        <v>58</v>
      </c>
    </row>
    <row r="35" spans="1:11" ht="45" hidden="1" customHeight="1" x14ac:dyDescent="0.35">
      <c r="A35" s="17">
        <v>34</v>
      </c>
      <c r="B35" s="18" t="s">
        <v>175</v>
      </c>
      <c r="C35" s="19" t="s">
        <v>197</v>
      </c>
      <c r="D35" s="33" t="s">
        <v>27</v>
      </c>
      <c r="E35" s="20" t="s">
        <v>198</v>
      </c>
      <c r="F35" s="24"/>
      <c r="G35" s="24"/>
      <c r="H35" s="24"/>
      <c r="I35" s="24"/>
      <c r="J35" s="24"/>
      <c r="K35" s="24"/>
    </row>
    <row r="36" spans="1:11" ht="30" hidden="1" customHeight="1" x14ac:dyDescent="0.35">
      <c r="A36" s="17">
        <v>35</v>
      </c>
      <c r="B36" s="18" t="s">
        <v>175</v>
      </c>
      <c r="C36" s="19" t="s">
        <v>199</v>
      </c>
      <c r="D36" s="33" t="s">
        <v>27</v>
      </c>
      <c r="E36" s="22" t="s">
        <v>200</v>
      </c>
      <c r="F36" s="24"/>
      <c r="G36" s="24"/>
      <c r="H36" s="24"/>
      <c r="I36" s="24"/>
      <c r="J36" s="24"/>
      <c r="K36" s="24"/>
    </row>
    <row r="37" spans="1:11" ht="203" customHeight="1" x14ac:dyDescent="0.35">
      <c r="A37" s="17">
        <v>36</v>
      </c>
      <c r="B37" s="18" t="s">
        <v>175</v>
      </c>
      <c r="C37" s="19" t="s">
        <v>201</v>
      </c>
      <c r="D37" s="35" t="s">
        <v>52</v>
      </c>
      <c r="E37" s="22" t="s">
        <v>202</v>
      </c>
      <c r="F37" s="45" t="s">
        <v>203</v>
      </c>
      <c r="G37" s="45" t="s">
        <v>204</v>
      </c>
      <c r="H37" s="45" t="s">
        <v>205</v>
      </c>
      <c r="I37" s="45" t="s">
        <v>206</v>
      </c>
      <c r="J37" s="45" t="s">
        <v>207</v>
      </c>
      <c r="K37" s="24" t="s">
        <v>19</v>
      </c>
    </row>
    <row r="38" spans="1:11" ht="30" customHeight="1" x14ac:dyDescent="0.35">
      <c r="A38" s="17">
        <v>37</v>
      </c>
      <c r="B38" s="18" t="s">
        <v>175</v>
      </c>
      <c r="C38" s="19" t="s">
        <v>208</v>
      </c>
      <c r="D38" s="35" t="s">
        <v>52</v>
      </c>
      <c r="E38" s="20" t="s">
        <v>209</v>
      </c>
      <c r="F38" s="45" t="s">
        <v>210</v>
      </c>
      <c r="G38" s="45" t="s">
        <v>211</v>
      </c>
      <c r="H38" s="45" t="s">
        <v>212</v>
      </c>
      <c r="I38" s="45" t="s">
        <v>213</v>
      </c>
      <c r="J38" s="45" t="s">
        <v>214</v>
      </c>
      <c r="K38" s="24" t="s">
        <v>19</v>
      </c>
    </row>
    <row r="39" spans="1:11" ht="203" customHeight="1" x14ac:dyDescent="0.35">
      <c r="A39" s="17">
        <v>38</v>
      </c>
      <c r="B39" s="18" t="s">
        <v>175</v>
      </c>
      <c r="C39" s="19" t="s">
        <v>215</v>
      </c>
      <c r="D39" s="35" t="s">
        <v>52</v>
      </c>
      <c r="E39" s="22" t="s">
        <v>216</v>
      </c>
      <c r="F39" s="45" t="s">
        <v>217</v>
      </c>
      <c r="G39" s="45" t="s">
        <v>218</v>
      </c>
      <c r="H39" s="45" t="s">
        <v>219</v>
      </c>
      <c r="I39" s="45" t="s">
        <v>220</v>
      </c>
      <c r="J39" s="45" t="s">
        <v>221</v>
      </c>
      <c r="K39" s="24" t="s">
        <v>58</v>
      </c>
    </row>
    <row r="40" spans="1:11" ht="30" hidden="1" customHeight="1" x14ac:dyDescent="0.35">
      <c r="A40" s="17">
        <v>39</v>
      </c>
      <c r="B40" s="18" t="s">
        <v>175</v>
      </c>
      <c r="C40" s="19" t="s">
        <v>222</v>
      </c>
      <c r="D40" s="32" t="s">
        <v>13</v>
      </c>
      <c r="E40" s="20" t="s">
        <v>223</v>
      </c>
      <c r="F40" s="24"/>
      <c r="G40" s="24"/>
      <c r="H40" s="24"/>
      <c r="I40" s="24"/>
      <c r="J40" s="24"/>
      <c r="K40" s="24"/>
    </row>
    <row r="41" spans="1:11" ht="30" hidden="1" customHeight="1" x14ac:dyDescent="0.35">
      <c r="A41" s="17">
        <v>40</v>
      </c>
      <c r="B41" s="18" t="s">
        <v>175</v>
      </c>
      <c r="C41" s="19" t="s">
        <v>224</v>
      </c>
      <c r="D41" s="33" t="s">
        <v>27</v>
      </c>
      <c r="E41" s="20" t="s">
        <v>225</v>
      </c>
      <c r="F41" s="24"/>
      <c r="G41" s="24"/>
      <c r="H41" s="24"/>
      <c r="I41" s="24"/>
      <c r="J41" s="24"/>
      <c r="K41" s="24"/>
    </row>
    <row r="42" spans="1:11" ht="165" customHeight="1" x14ac:dyDescent="0.35">
      <c r="A42" s="17">
        <v>41</v>
      </c>
      <c r="B42" s="18" t="s">
        <v>226</v>
      </c>
      <c r="C42" s="19" t="s">
        <v>227</v>
      </c>
      <c r="D42" s="35" t="s">
        <v>52</v>
      </c>
      <c r="E42" s="26" t="s">
        <v>228</v>
      </c>
      <c r="F42" s="45" t="s">
        <v>229</v>
      </c>
      <c r="G42" s="45" t="s">
        <v>230</v>
      </c>
      <c r="H42" s="45" t="s">
        <v>231</v>
      </c>
      <c r="I42" s="45" t="s">
        <v>232</v>
      </c>
      <c r="J42" s="45" t="s">
        <v>233</v>
      </c>
      <c r="K42" s="24" t="s">
        <v>19</v>
      </c>
    </row>
    <row r="43" spans="1:11" ht="30" hidden="1" customHeight="1" x14ac:dyDescent="0.35">
      <c r="A43" s="17">
        <v>42</v>
      </c>
      <c r="B43" s="18" t="s">
        <v>226</v>
      </c>
      <c r="C43" s="19" t="s">
        <v>234</v>
      </c>
      <c r="D43" s="32" t="s">
        <v>13</v>
      </c>
      <c r="E43" s="20" t="s">
        <v>21</v>
      </c>
      <c r="F43" s="24"/>
      <c r="G43" s="24"/>
      <c r="H43" s="24"/>
      <c r="I43" s="24"/>
      <c r="J43" s="24"/>
      <c r="K43" s="24"/>
    </row>
    <row r="44" spans="1:11" ht="30" customHeight="1" x14ac:dyDescent="0.35">
      <c r="A44" s="17">
        <v>43</v>
      </c>
      <c r="B44" s="18" t="s">
        <v>226</v>
      </c>
      <c r="C44" s="19" t="s">
        <v>235</v>
      </c>
      <c r="D44" s="35" t="s">
        <v>52</v>
      </c>
      <c r="E44" s="20" t="s">
        <v>236</v>
      </c>
      <c r="F44" s="45" t="s">
        <v>237</v>
      </c>
      <c r="G44" s="45" t="s">
        <v>238</v>
      </c>
      <c r="H44" s="45" t="s">
        <v>239</v>
      </c>
      <c r="I44" s="45" t="s">
        <v>240</v>
      </c>
      <c r="J44" s="45" t="s">
        <v>241</v>
      </c>
      <c r="K44" s="24" t="s">
        <v>19</v>
      </c>
    </row>
    <row r="45" spans="1:11" ht="120" hidden="1" customHeight="1" x14ac:dyDescent="0.35">
      <c r="A45" s="17">
        <v>44</v>
      </c>
      <c r="B45" s="18" t="s">
        <v>226</v>
      </c>
      <c r="C45" s="19" t="s">
        <v>242</v>
      </c>
      <c r="D45" s="33" t="s">
        <v>27</v>
      </c>
      <c r="E45" s="27" t="s">
        <v>243</v>
      </c>
      <c r="F45" s="24"/>
      <c r="G45" s="24"/>
      <c r="H45" s="24"/>
      <c r="I45" s="24"/>
      <c r="J45" s="24"/>
      <c r="K45" s="24"/>
    </row>
    <row r="46" spans="1:11" ht="30" customHeight="1" x14ac:dyDescent="0.35">
      <c r="A46" s="17">
        <v>45</v>
      </c>
      <c r="B46" s="18" t="s">
        <v>226</v>
      </c>
      <c r="C46" s="19" t="s">
        <v>244</v>
      </c>
      <c r="D46" s="35" t="s">
        <v>52</v>
      </c>
      <c r="E46" s="22" t="s">
        <v>245</v>
      </c>
      <c r="F46" s="45" t="s">
        <v>246</v>
      </c>
      <c r="G46" s="45" t="s">
        <v>247</v>
      </c>
      <c r="H46" s="45" t="s">
        <v>248</v>
      </c>
      <c r="I46" s="45" t="s">
        <v>249</v>
      </c>
      <c r="J46" s="45" t="s">
        <v>250</v>
      </c>
      <c r="K46" s="24" t="s">
        <v>19</v>
      </c>
    </row>
    <row r="47" spans="1:11" ht="30" hidden="1" customHeight="1" x14ac:dyDescent="0.35">
      <c r="A47" s="17">
        <v>46</v>
      </c>
      <c r="B47" s="18" t="s">
        <v>226</v>
      </c>
      <c r="C47" s="19" t="s">
        <v>251</v>
      </c>
      <c r="D47" s="32" t="s">
        <v>13</v>
      </c>
      <c r="E47" s="20" t="s">
        <v>21</v>
      </c>
      <c r="F47" s="24"/>
      <c r="G47" s="24"/>
      <c r="H47" s="24"/>
      <c r="I47" s="24"/>
      <c r="J47" s="24"/>
      <c r="K47" s="24"/>
    </row>
    <row r="48" spans="1:11" ht="30" customHeight="1" x14ac:dyDescent="0.35">
      <c r="A48" s="17">
        <v>47</v>
      </c>
      <c r="B48" s="18" t="s">
        <v>226</v>
      </c>
      <c r="C48" s="19" t="s">
        <v>252</v>
      </c>
      <c r="D48" s="35" t="s">
        <v>52</v>
      </c>
      <c r="E48" s="20" t="s">
        <v>21</v>
      </c>
      <c r="F48" s="45" t="s">
        <v>253</v>
      </c>
      <c r="G48" s="45" t="s">
        <v>254</v>
      </c>
      <c r="H48" s="45" t="s">
        <v>255</v>
      </c>
      <c r="I48" s="45" t="s">
        <v>256</v>
      </c>
      <c r="J48" s="45" t="s">
        <v>257</v>
      </c>
      <c r="K48" s="24" t="s">
        <v>19</v>
      </c>
    </row>
    <row r="49" spans="1:11" ht="30" customHeight="1" x14ac:dyDescent="0.35">
      <c r="A49" s="17">
        <v>48</v>
      </c>
      <c r="B49" s="18" t="s">
        <v>226</v>
      </c>
      <c r="C49" s="19" t="s">
        <v>258</v>
      </c>
      <c r="D49" s="35" t="s">
        <v>52</v>
      </c>
      <c r="E49" s="22" t="s">
        <v>259</v>
      </c>
      <c r="F49" s="45" t="s">
        <v>260</v>
      </c>
      <c r="G49" s="45" t="s">
        <v>261</v>
      </c>
      <c r="H49" s="45" t="s">
        <v>262</v>
      </c>
      <c r="I49" s="45" t="s">
        <v>263</v>
      </c>
      <c r="J49" s="45" t="s">
        <v>264</v>
      </c>
      <c r="K49" s="24" t="s">
        <v>19</v>
      </c>
    </row>
    <row r="50" spans="1:11" ht="30" hidden="1" customHeight="1" x14ac:dyDescent="0.35">
      <c r="A50" s="17">
        <v>49</v>
      </c>
      <c r="B50" s="18" t="s">
        <v>226</v>
      </c>
      <c r="C50" s="19" t="s">
        <v>265</v>
      </c>
      <c r="D50" s="33" t="s">
        <v>27</v>
      </c>
      <c r="E50" s="20" t="s">
        <v>21</v>
      </c>
      <c r="F50" s="24"/>
      <c r="G50" s="24"/>
      <c r="H50" s="24"/>
      <c r="I50" s="24"/>
      <c r="J50" s="24"/>
      <c r="K50" s="24"/>
    </row>
    <row r="51" spans="1:11" ht="30" hidden="1" customHeight="1" x14ac:dyDescent="0.35">
      <c r="A51" s="17">
        <v>50</v>
      </c>
      <c r="B51" s="18" t="s">
        <v>226</v>
      </c>
      <c r="C51" s="19" t="s">
        <v>266</v>
      </c>
      <c r="D51" s="32" t="s">
        <v>13</v>
      </c>
      <c r="E51" s="20" t="s">
        <v>21</v>
      </c>
      <c r="F51" s="24"/>
      <c r="G51" s="24"/>
      <c r="H51" s="24"/>
      <c r="I51" s="24"/>
      <c r="J51" s="24"/>
      <c r="K51" s="24"/>
    </row>
    <row r="52" spans="1:11" ht="275.5" customHeight="1" x14ac:dyDescent="0.35">
      <c r="A52" s="17">
        <v>51</v>
      </c>
      <c r="B52" s="19" t="s">
        <v>267</v>
      </c>
      <c r="C52" s="19" t="s">
        <v>268</v>
      </c>
      <c r="D52" s="35" t="s">
        <v>52</v>
      </c>
      <c r="E52" s="20" t="s">
        <v>269</v>
      </c>
      <c r="F52" s="45" t="s">
        <v>270</v>
      </c>
      <c r="G52" s="45" t="s">
        <v>271</v>
      </c>
      <c r="H52" s="45" t="s">
        <v>272</v>
      </c>
      <c r="I52" s="45" t="s">
        <v>273</v>
      </c>
      <c r="J52" s="45" t="s">
        <v>274</v>
      </c>
      <c r="K52" s="24" t="s">
        <v>19</v>
      </c>
    </row>
    <row r="53" spans="1:11" ht="319" x14ac:dyDescent="0.35">
      <c r="A53" s="17">
        <v>52</v>
      </c>
      <c r="B53" s="19" t="s">
        <v>267</v>
      </c>
      <c r="C53" s="19" t="s">
        <v>275</v>
      </c>
      <c r="D53" s="35" t="s">
        <v>52</v>
      </c>
      <c r="E53" s="26" t="s">
        <v>276</v>
      </c>
      <c r="F53" s="45" t="s">
        <v>277</v>
      </c>
      <c r="G53" s="45" t="s">
        <v>278</v>
      </c>
      <c r="H53" s="45" t="s">
        <v>279</v>
      </c>
      <c r="I53" s="45" t="s">
        <v>280</v>
      </c>
      <c r="J53" s="45" t="s">
        <v>281</v>
      </c>
      <c r="K53" s="24" t="s">
        <v>19</v>
      </c>
    </row>
    <row r="54" spans="1:11" ht="105" customHeight="1" x14ac:dyDescent="0.35">
      <c r="A54" s="17">
        <v>53</v>
      </c>
      <c r="B54" s="19" t="s">
        <v>267</v>
      </c>
      <c r="C54" s="19" t="s">
        <v>282</v>
      </c>
      <c r="D54" s="35" t="s">
        <v>52</v>
      </c>
      <c r="E54" s="26" t="s">
        <v>283</v>
      </c>
      <c r="F54" s="45" t="s">
        <v>284</v>
      </c>
      <c r="G54" s="45" t="s">
        <v>285</v>
      </c>
      <c r="H54" s="45" t="s">
        <v>286</v>
      </c>
      <c r="I54" s="45" t="s">
        <v>287</v>
      </c>
      <c r="J54" s="45" t="s">
        <v>288</v>
      </c>
      <c r="K54" s="24" t="s">
        <v>19</v>
      </c>
    </row>
    <row r="55" spans="1:11" ht="377" customHeight="1" x14ac:dyDescent="0.35">
      <c r="A55" s="17">
        <v>54</v>
      </c>
      <c r="B55" s="19" t="s">
        <v>267</v>
      </c>
      <c r="C55" s="19" t="s">
        <v>289</v>
      </c>
      <c r="D55" s="35" t="s">
        <v>52</v>
      </c>
      <c r="E55" s="20" t="s">
        <v>290</v>
      </c>
      <c r="F55" s="45" t="s">
        <v>291</v>
      </c>
      <c r="G55" s="45" t="s">
        <v>292</v>
      </c>
      <c r="H55" s="45" t="s">
        <v>293</v>
      </c>
      <c r="I55" s="45" t="s">
        <v>294</v>
      </c>
      <c r="J55" s="45" t="s">
        <v>295</v>
      </c>
      <c r="K55" s="24" t="s">
        <v>19</v>
      </c>
    </row>
    <row r="56" spans="1:11" ht="30" hidden="1" customHeight="1" x14ac:dyDescent="0.35">
      <c r="A56" s="17">
        <v>55</v>
      </c>
      <c r="B56" s="19" t="s">
        <v>267</v>
      </c>
      <c r="C56" s="19" t="s">
        <v>296</v>
      </c>
      <c r="D56" s="33" t="s">
        <v>27</v>
      </c>
      <c r="E56" s="20" t="s">
        <v>297</v>
      </c>
      <c r="F56" s="24"/>
      <c r="G56" s="24"/>
      <c r="H56" s="24"/>
      <c r="I56" s="24"/>
      <c r="J56" s="24"/>
      <c r="K56" s="24"/>
    </row>
    <row r="57" spans="1:11" ht="135" hidden="1" customHeight="1" x14ac:dyDescent="0.35">
      <c r="A57" s="17">
        <v>56</v>
      </c>
      <c r="B57" s="19" t="s">
        <v>267</v>
      </c>
      <c r="C57" s="19" t="s">
        <v>298</v>
      </c>
      <c r="D57" s="33" t="s">
        <v>27</v>
      </c>
      <c r="E57" s="27" t="s">
        <v>299</v>
      </c>
      <c r="F57" s="24"/>
      <c r="G57" s="24"/>
      <c r="H57" s="24"/>
      <c r="I57" s="24"/>
      <c r="J57" s="24"/>
      <c r="K57" s="24"/>
    </row>
    <row r="58" spans="1:11" ht="90" hidden="1" customHeight="1" x14ac:dyDescent="0.35">
      <c r="A58" s="17">
        <v>57</v>
      </c>
      <c r="B58" s="19" t="s">
        <v>267</v>
      </c>
      <c r="C58" s="19" t="s">
        <v>300</v>
      </c>
      <c r="D58" s="33" t="s">
        <v>27</v>
      </c>
      <c r="E58" s="26" t="s">
        <v>301</v>
      </c>
      <c r="F58" s="24"/>
      <c r="G58" s="24"/>
      <c r="H58" s="24"/>
      <c r="I58" s="24"/>
      <c r="J58" s="24"/>
      <c r="K58" s="24"/>
    </row>
    <row r="59" spans="1:11" ht="120" customHeight="1" x14ac:dyDescent="0.35">
      <c r="A59" s="17">
        <v>58</v>
      </c>
      <c r="B59" s="19" t="s">
        <v>267</v>
      </c>
      <c r="C59" s="19" t="s">
        <v>302</v>
      </c>
      <c r="D59" s="35" t="s">
        <v>52</v>
      </c>
      <c r="E59" s="26" t="s">
        <v>303</v>
      </c>
      <c r="F59" s="45" t="s">
        <v>304</v>
      </c>
      <c r="G59" s="45" t="s">
        <v>305</v>
      </c>
      <c r="H59" s="45" t="s">
        <v>306</v>
      </c>
      <c r="I59" s="45" t="s">
        <v>307</v>
      </c>
      <c r="J59" s="45" t="s">
        <v>308</v>
      </c>
      <c r="K59" s="24" t="s">
        <v>19</v>
      </c>
    </row>
    <row r="60" spans="1:11" ht="45" hidden="1" customHeight="1" x14ac:dyDescent="0.35">
      <c r="A60" s="17">
        <v>59</v>
      </c>
      <c r="B60" s="19" t="s">
        <v>267</v>
      </c>
      <c r="C60" s="19" t="s">
        <v>309</v>
      </c>
      <c r="D60" s="32" t="s">
        <v>13</v>
      </c>
      <c r="E60" s="28" t="s">
        <v>310</v>
      </c>
      <c r="F60" s="24"/>
      <c r="G60" s="24"/>
      <c r="H60" s="24"/>
      <c r="I60" s="24"/>
      <c r="J60" s="24"/>
      <c r="K60" s="24"/>
    </row>
    <row r="61" spans="1:11" ht="409.5" customHeight="1" x14ac:dyDescent="0.35">
      <c r="A61" s="17">
        <v>60</v>
      </c>
      <c r="B61" s="19" t="s">
        <v>267</v>
      </c>
      <c r="C61" s="19" t="s">
        <v>311</v>
      </c>
      <c r="D61" s="35" t="s">
        <v>52</v>
      </c>
      <c r="E61" s="26" t="s">
        <v>312</v>
      </c>
      <c r="F61" s="45" t="s">
        <v>313</v>
      </c>
      <c r="G61" s="45" t="s">
        <v>314</v>
      </c>
      <c r="H61" s="45" t="s">
        <v>315</v>
      </c>
      <c r="I61" s="45" t="s">
        <v>316</v>
      </c>
      <c r="J61" s="45" t="s">
        <v>317</v>
      </c>
      <c r="K61" s="24" t="s">
        <v>19</v>
      </c>
    </row>
    <row r="62" spans="1:11" ht="30" hidden="1" customHeight="1" x14ac:dyDescent="0.35">
      <c r="A62" s="17">
        <v>61</v>
      </c>
      <c r="B62" s="29" t="s">
        <v>318</v>
      </c>
      <c r="C62" s="19" t="s">
        <v>319</v>
      </c>
      <c r="D62" s="33" t="s">
        <v>27</v>
      </c>
      <c r="E62" s="20" t="s">
        <v>21</v>
      </c>
      <c r="F62" s="24"/>
      <c r="G62" s="24"/>
      <c r="H62" s="24"/>
      <c r="I62" s="24"/>
      <c r="J62" s="24"/>
      <c r="K62" s="24"/>
    </row>
    <row r="63" spans="1:11" ht="30" hidden="1" customHeight="1" x14ac:dyDescent="0.35">
      <c r="A63" s="17">
        <v>62</v>
      </c>
      <c r="B63" s="29" t="s">
        <v>318</v>
      </c>
      <c r="C63" s="19" t="s">
        <v>320</v>
      </c>
      <c r="D63" s="32" t="s">
        <v>13</v>
      </c>
      <c r="E63" s="20" t="s">
        <v>21</v>
      </c>
      <c r="F63" s="24"/>
      <c r="G63" s="24"/>
      <c r="H63" s="24"/>
      <c r="I63" s="24"/>
      <c r="J63" s="24"/>
      <c r="K63" s="24"/>
    </row>
    <row r="64" spans="1:11" ht="30" hidden="1" customHeight="1" x14ac:dyDescent="0.35">
      <c r="A64" s="17">
        <v>63</v>
      </c>
      <c r="B64" s="29" t="s">
        <v>318</v>
      </c>
      <c r="C64" s="19" t="s">
        <v>321</v>
      </c>
      <c r="D64" s="32" t="s">
        <v>13</v>
      </c>
      <c r="E64" s="20" t="s">
        <v>322</v>
      </c>
      <c r="F64" s="24"/>
      <c r="G64" s="24"/>
      <c r="H64" s="24"/>
      <c r="I64" s="24"/>
      <c r="J64" s="24"/>
      <c r="K64" s="24"/>
    </row>
    <row r="65" spans="1:11" ht="30" hidden="1" customHeight="1" x14ac:dyDescent="0.35">
      <c r="A65" s="17">
        <v>64</v>
      </c>
      <c r="B65" s="29" t="s">
        <v>318</v>
      </c>
      <c r="C65" s="19" t="s">
        <v>323</v>
      </c>
      <c r="D65" s="32" t="s">
        <v>13</v>
      </c>
      <c r="E65" s="20" t="s">
        <v>21</v>
      </c>
      <c r="F65" s="24"/>
      <c r="G65" s="24"/>
      <c r="H65" s="24"/>
      <c r="I65" s="24"/>
      <c r="J65" s="24"/>
      <c r="K65" s="24"/>
    </row>
    <row r="66" spans="1:11" ht="14.5" hidden="1" customHeight="1" x14ac:dyDescent="0.35">
      <c r="A66" s="17">
        <v>65</v>
      </c>
      <c r="B66" s="29" t="s">
        <v>318</v>
      </c>
      <c r="C66" s="19" t="s">
        <v>324</v>
      </c>
      <c r="D66" s="34" t="s">
        <v>40</v>
      </c>
      <c r="E66" s="20" t="s">
        <v>325</v>
      </c>
      <c r="F66" s="24"/>
      <c r="G66" s="24"/>
      <c r="H66" s="24"/>
      <c r="I66" s="24"/>
      <c r="J66" s="24"/>
      <c r="K66" s="24"/>
    </row>
    <row r="67" spans="1:11" ht="14.5" hidden="1" customHeight="1" x14ac:dyDescent="0.35">
      <c r="A67" s="17">
        <v>66</v>
      </c>
      <c r="B67" s="29" t="s">
        <v>318</v>
      </c>
      <c r="C67" s="19" t="s">
        <v>326</v>
      </c>
      <c r="D67" s="34" t="s">
        <v>40</v>
      </c>
      <c r="E67" s="20" t="s">
        <v>325</v>
      </c>
      <c r="F67" s="24"/>
      <c r="G67" s="24"/>
      <c r="H67" s="24"/>
      <c r="I67" s="24"/>
      <c r="J67" s="24"/>
      <c r="K67" s="24"/>
    </row>
    <row r="68" spans="1:11" ht="30" hidden="1" customHeight="1" x14ac:dyDescent="0.35">
      <c r="A68" s="17">
        <v>67</v>
      </c>
      <c r="B68" s="29" t="s">
        <v>318</v>
      </c>
      <c r="C68" s="19" t="s">
        <v>327</v>
      </c>
      <c r="D68" s="32" t="s">
        <v>13</v>
      </c>
      <c r="E68" s="20" t="s">
        <v>21</v>
      </c>
      <c r="F68" s="24"/>
      <c r="G68" s="24"/>
      <c r="H68" s="24"/>
      <c r="I68" s="24"/>
      <c r="J68" s="24"/>
      <c r="K68" s="24"/>
    </row>
    <row r="69" spans="1:11" ht="30" hidden="1" customHeight="1" x14ac:dyDescent="0.35">
      <c r="A69" s="17">
        <v>68</v>
      </c>
      <c r="B69" s="29" t="s">
        <v>318</v>
      </c>
      <c r="C69" s="19" t="s">
        <v>328</v>
      </c>
      <c r="D69" s="33" t="s">
        <v>27</v>
      </c>
      <c r="E69" s="22" t="s">
        <v>329</v>
      </c>
      <c r="F69" s="24"/>
      <c r="G69" s="24"/>
      <c r="H69" s="24"/>
      <c r="I69" s="24"/>
      <c r="J69" s="24"/>
      <c r="K69" s="24"/>
    </row>
    <row r="70" spans="1:11" ht="30" hidden="1" customHeight="1" x14ac:dyDescent="0.35">
      <c r="A70" s="17">
        <v>69</v>
      </c>
      <c r="B70" s="29" t="s">
        <v>318</v>
      </c>
      <c r="C70" s="19" t="s">
        <v>330</v>
      </c>
      <c r="D70" s="32" t="s">
        <v>13</v>
      </c>
      <c r="E70" s="20" t="s">
        <v>21</v>
      </c>
      <c r="F70" s="24"/>
      <c r="G70" s="24"/>
      <c r="H70" s="24"/>
      <c r="I70" s="24"/>
      <c r="J70" s="24"/>
      <c r="K70" s="24"/>
    </row>
    <row r="71" spans="1:11" ht="30" hidden="1" customHeight="1" x14ac:dyDescent="0.35">
      <c r="A71" s="17">
        <v>70</v>
      </c>
      <c r="B71" s="29" t="s">
        <v>318</v>
      </c>
      <c r="C71" s="19" t="s">
        <v>331</v>
      </c>
      <c r="D71" s="32" t="s">
        <v>13</v>
      </c>
      <c r="E71" s="20" t="s">
        <v>21</v>
      </c>
      <c r="F71" s="24"/>
      <c r="G71" s="24"/>
      <c r="H71" s="24"/>
      <c r="I71" s="24"/>
      <c r="J71" s="24"/>
      <c r="K71" s="24"/>
    </row>
    <row r="72" spans="1:11" ht="105" customHeight="1" x14ac:dyDescent="0.35">
      <c r="A72" s="17">
        <v>71</v>
      </c>
      <c r="B72" s="19" t="s">
        <v>332</v>
      </c>
      <c r="C72" s="19" t="s">
        <v>333</v>
      </c>
      <c r="D72" s="35" t="s">
        <v>52</v>
      </c>
      <c r="E72" s="27" t="s">
        <v>334</v>
      </c>
      <c r="F72" s="45" t="s">
        <v>335</v>
      </c>
      <c r="G72" s="45" t="s">
        <v>336</v>
      </c>
      <c r="H72" s="45" t="s">
        <v>337</v>
      </c>
      <c r="I72" s="45" t="s">
        <v>338</v>
      </c>
      <c r="J72" s="45" t="s">
        <v>339</v>
      </c>
      <c r="K72" s="24" t="s">
        <v>19</v>
      </c>
    </row>
    <row r="73" spans="1:11" ht="30" customHeight="1" x14ac:dyDescent="0.35">
      <c r="A73" s="17">
        <v>72</v>
      </c>
      <c r="B73" s="19" t="s">
        <v>332</v>
      </c>
      <c r="C73" s="19" t="s">
        <v>340</v>
      </c>
      <c r="D73" s="35" t="s">
        <v>52</v>
      </c>
      <c r="E73" s="20" t="s">
        <v>341</v>
      </c>
      <c r="F73" s="45" t="s">
        <v>342</v>
      </c>
      <c r="G73" s="45" t="s">
        <v>343</v>
      </c>
      <c r="H73" s="45" t="s">
        <v>344</v>
      </c>
      <c r="I73" s="45" t="s">
        <v>345</v>
      </c>
      <c r="J73" s="45" t="s">
        <v>346</v>
      </c>
      <c r="K73" s="24" t="s">
        <v>19</v>
      </c>
    </row>
    <row r="74" spans="1:11" ht="30" hidden="1" customHeight="1" x14ac:dyDescent="0.35">
      <c r="A74" s="17">
        <v>73</v>
      </c>
      <c r="B74" s="19" t="s">
        <v>332</v>
      </c>
      <c r="C74" s="19" t="s">
        <v>347</v>
      </c>
      <c r="D74" s="33" t="s">
        <v>27</v>
      </c>
      <c r="E74" s="20" t="s">
        <v>348</v>
      </c>
      <c r="F74" s="24"/>
      <c r="G74" s="24"/>
      <c r="H74" s="24"/>
      <c r="I74" s="24"/>
      <c r="J74" s="24"/>
      <c r="K74" s="24"/>
    </row>
    <row r="75" spans="1:11" ht="30" hidden="1" customHeight="1" x14ac:dyDescent="0.35">
      <c r="A75" s="17">
        <v>74</v>
      </c>
      <c r="B75" s="19" t="s">
        <v>332</v>
      </c>
      <c r="C75" s="19" t="s">
        <v>349</v>
      </c>
      <c r="D75" s="33" t="s">
        <v>27</v>
      </c>
      <c r="E75" s="20" t="s">
        <v>350</v>
      </c>
      <c r="F75" s="24"/>
      <c r="G75" s="24"/>
      <c r="H75" s="24"/>
      <c r="I75" s="24"/>
      <c r="J75" s="24"/>
      <c r="K75" s="24"/>
    </row>
    <row r="76" spans="1:11" ht="30" hidden="1" customHeight="1" x14ac:dyDescent="0.35">
      <c r="A76" s="17">
        <v>75</v>
      </c>
      <c r="B76" s="19" t="s">
        <v>332</v>
      </c>
      <c r="C76" s="19" t="s">
        <v>351</v>
      </c>
      <c r="D76" s="34" t="s">
        <v>40</v>
      </c>
      <c r="E76" s="20" t="s">
        <v>21</v>
      </c>
      <c r="F76" s="24"/>
      <c r="G76" s="24"/>
      <c r="H76" s="24"/>
      <c r="I76" s="24"/>
      <c r="J76" s="24"/>
      <c r="K76" s="24"/>
    </row>
    <row r="77" spans="1:11" ht="30" customHeight="1" x14ac:dyDescent="0.35">
      <c r="A77" s="17">
        <v>76</v>
      </c>
      <c r="B77" s="19" t="s">
        <v>332</v>
      </c>
      <c r="C77" s="19" t="s">
        <v>352</v>
      </c>
      <c r="D77" s="35" t="s">
        <v>52</v>
      </c>
      <c r="E77" s="20" t="s">
        <v>353</v>
      </c>
      <c r="F77" s="45" t="s">
        <v>354</v>
      </c>
      <c r="G77" s="45" t="s">
        <v>355</v>
      </c>
      <c r="H77" s="45" t="s">
        <v>356</v>
      </c>
      <c r="I77" s="45" t="s">
        <v>357</v>
      </c>
      <c r="J77" s="45" t="s">
        <v>358</v>
      </c>
      <c r="K77" s="24" t="s">
        <v>19</v>
      </c>
    </row>
    <row r="78" spans="1:11" ht="30" hidden="1" customHeight="1" x14ac:dyDescent="0.35">
      <c r="A78" s="17">
        <v>77</v>
      </c>
      <c r="B78" s="19" t="s">
        <v>332</v>
      </c>
      <c r="C78" s="19" t="s">
        <v>359</v>
      </c>
      <c r="D78" s="33" t="s">
        <v>27</v>
      </c>
      <c r="E78" s="20" t="s">
        <v>21</v>
      </c>
      <c r="F78" s="24"/>
      <c r="G78" s="24"/>
      <c r="H78" s="24"/>
      <c r="I78" s="24"/>
      <c r="J78" s="24"/>
      <c r="K78" s="24"/>
    </row>
    <row r="79" spans="1:11" ht="30" customHeight="1" x14ac:dyDescent="0.35">
      <c r="A79" s="17">
        <v>78</v>
      </c>
      <c r="B79" s="19" t="s">
        <v>332</v>
      </c>
      <c r="C79" s="19" t="s">
        <v>360</v>
      </c>
      <c r="D79" s="35" t="s">
        <v>52</v>
      </c>
      <c r="E79" s="20" t="s">
        <v>21</v>
      </c>
      <c r="F79" s="45" t="s">
        <v>361</v>
      </c>
      <c r="G79" s="45" t="s">
        <v>362</v>
      </c>
      <c r="H79" s="45" t="s">
        <v>363</v>
      </c>
      <c r="I79" s="45" t="s">
        <v>364</v>
      </c>
      <c r="J79" s="45" t="s">
        <v>365</v>
      </c>
      <c r="K79" s="24" t="s">
        <v>19</v>
      </c>
    </row>
    <row r="80" spans="1:11" ht="30" hidden="1" customHeight="1" x14ac:dyDescent="0.35">
      <c r="A80" s="17">
        <v>79</v>
      </c>
      <c r="B80" s="19" t="s">
        <v>332</v>
      </c>
      <c r="C80" s="19" t="s">
        <v>366</v>
      </c>
      <c r="D80" s="33" t="s">
        <v>27</v>
      </c>
      <c r="E80" s="20" t="s">
        <v>21</v>
      </c>
      <c r="F80" s="24"/>
      <c r="G80" s="24"/>
      <c r="H80" s="24"/>
      <c r="I80" s="24"/>
      <c r="J80" s="24"/>
      <c r="K80" s="24"/>
    </row>
    <row r="81" spans="1:11" ht="30" hidden="1" customHeight="1" x14ac:dyDescent="0.35">
      <c r="A81" s="17">
        <v>80</v>
      </c>
      <c r="B81" s="19" t="s">
        <v>332</v>
      </c>
      <c r="C81" s="19" t="s">
        <v>367</v>
      </c>
      <c r="D81" s="32" t="s">
        <v>13</v>
      </c>
      <c r="E81" s="20" t="s">
        <v>368</v>
      </c>
      <c r="F81" s="24"/>
      <c r="G81" s="24"/>
      <c r="H81" s="24"/>
      <c r="I81" s="24"/>
      <c r="J81" s="24"/>
      <c r="K81" s="24"/>
    </row>
    <row r="82" spans="1:11" ht="30" customHeight="1" x14ac:dyDescent="0.35">
      <c r="A82" s="17">
        <v>81</v>
      </c>
      <c r="B82" s="19" t="s">
        <v>369</v>
      </c>
      <c r="C82" s="19" t="s">
        <v>370</v>
      </c>
      <c r="D82" s="35" t="s">
        <v>52</v>
      </c>
      <c r="E82" s="22" t="s">
        <v>371</v>
      </c>
      <c r="F82" s="45" t="s">
        <v>372</v>
      </c>
      <c r="G82" s="45" t="s">
        <v>373</v>
      </c>
      <c r="H82" s="45" t="s">
        <v>374</v>
      </c>
      <c r="I82" s="45" t="s">
        <v>375</v>
      </c>
      <c r="J82" s="45" t="s">
        <v>376</v>
      </c>
      <c r="K82" s="24" t="s">
        <v>58</v>
      </c>
    </row>
    <row r="83" spans="1:11" ht="30" customHeight="1" x14ac:dyDescent="0.35">
      <c r="A83" s="17">
        <v>82</v>
      </c>
      <c r="B83" s="19" t="s">
        <v>369</v>
      </c>
      <c r="C83" s="19" t="s">
        <v>377</v>
      </c>
      <c r="D83" s="35" t="s">
        <v>52</v>
      </c>
      <c r="E83" s="22" t="s">
        <v>378</v>
      </c>
      <c r="F83" s="45" t="s">
        <v>379</v>
      </c>
      <c r="G83" s="45" t="s">
        <v>380</v>
      </c>
      <c r="H83" s="45" t="s">
        <v>381</v>
      </c>
      <c r="I83" s="45" t="s">
        <v>382</v>
      </c>
      <c r="J83" s="45" t="s">
        <v>383</v>
      </c>
      <c r="K83" s="24" t="s">
        <v>58</v>
      </c>
    </row>
    <row r="84" spans="1:11" ht="45" customHeight="1" x14ac:dyDescent="0.35">
      <c r="A84" s="17">
        <v>83</v>
      </c>
      <c r="B84" s="19" t="s">
        <v>369</v>
      </c>
      <c r="C84" s="19" t="s">
        <v>384</v>
      </c>
      <c r="D84" s="35" t="s">
        <v>52</v>
      </c>
      <c r="E84" s="22" t="s">
        <v>385</v>
      </c>
      <c r="F84" s="45" t="s">
        <v>386</v>
      </c>
      <c r="G84" s="45" t="s">
        <v>387</v>
      </c>
      <c r="H84" s="45" t="s">
        <v>388</v>
      </c>
      <c r="I84" s="45" t="s">
        <v>389</v>
      </c>
      <c r="J84" s="45" t="s">
        <v>390</v>
      </c>
      <c r="K84" s="23" t="s">
        <v>58</v>
      </c>
    </row>
    <row r="85" spans="1:11" ht="30" hidden="1" customHeight="1" x14ac:dyDescent="0.35">
      <c r="A85" s="17">
        <v>84</v>
      </c>
      <c r="B85" s="19" t="s">
        <v>369</v>
      </c>
      <c r="C85" s="19" t="s">
        <v>391</v>
      </c>
      <c r="D85" s="33" t="s">
        <v>27</v>
      </c>
      <c r="E85" s="22" t="s">
        <v>392</v>
      </c>
      <c r="F85" s="24"/>
      <c r="G85" s="24"/>
      <c r="H85" s="24"/>
      <c r="I85" s="24"/>
      <c r="J85" s="24"/>
      <c r="K85" s="24"/>
    </row>
    <row r="86" spans="1:11" ht="30" customHeight="1" x14ac:dyDescent="0.35">
      <c r="A86" s="17">
        <v>85</v>
      </c>
      <c r="B86" s="19" t="s">
        <v>369</v>
      </c>
      <c r="C86" s="19" t="s">
        <v>393</v>
      </c>
      <c r="D86" s="35" t="s">
        <v>52</v>
      </c>
      <c r="E86" s="22" t="s">
        <v>394</v>
      </c>
      <c r="F86" s="45" t="s">
        <v>395</v>
      </c>
      <c r="G86" s="45" t="s">
        <v>396</v>
      </c>
      <c r="H86" s="45" t="s">
        <v>397</v>
      </c>
      <c r="I86" s="45" t="s">
        <v>398</v>
      </c>
      <c r="J86" s="45" t="s">
        <v>399</v>
      </c>
      <c r="K86" s="24" t="s">
        <v>58</v>
      </c>
    </row>
    <row r="87" spans="1:11" ht="30" customHeight="1" x14ac:dyDescent="0.35">
      <c r="A87" s="17">
        <v>86</v>
      </c>
      <c r="B87" s="19" t="s">
        <v>369</v>
      </c>
      <c r="C87" s="19" t="s">
        <v>400</v>
      </c>
      <c r="D87" s="35" t="s">
        <v>52</v>
      </c>
      <c r="E87" s="22" t="s">
        <v>401</v>
      </c>
      <c r="F87" s="45" t="s">
        <v>402</v>
      </c>
      <c r="G87" s="45" t="s">
        <v>403</v>
      </c>
      <c r="H87" s="45" t="s">
        <v>404</v>
      </c>
      <c r="I87" s="45" t="s">
        <v>405</v>
      </c>
      <c r="J87" s="45" t="s">
        <v>406</v>
      </c>
      <c r="K87" s="24" t="s">
        <v>58</v>
      </c>
    </row>
    <row r="88" spans="1:11" ht="30" customHeight="1" x14ac:dyDescent="0.35">
      <c r="A88" s="17">
        <v>87</v>
      </c>
      <c r="B88" s="19" t="s">
        <v>369</v>
      </c>
      <c r="C88" s="19" t="s">
        <v>407</v>
      </c>
      <c r="D88" s="35" t="s">
        <v>52</v>
      </c>
      <c r="E88" s="22" t="s">
        <v>408</v>
      </c>
      <c r="F88" s="45" t="s">
        <v>409</v>
      </c>
      <c r="G88" s="45" t="s">
        <v>410</v>
      </c>
      <c r="H88" s="45" t="s">
        <v>411</v>
      </c>
      <c r="I88" s="45" t="s">
        <v>412</v>
      </c>
      <c r="J88" s="45" t="s">
        <v>413</v>
      </c>
      <c r="K88" s="23" t="s">
        <v>58</v>
      </c>
    </row>
    <row r="89" spans="1:11" ht="30" customHeight="1" x14ac:dyDescent="0.35">
      <c r="A89" s="17">
        <v>88</v>
      </c>
      <c r="B89" s="19" t="s">
        <v>369</v>
      </c>
      <c r="C89" s="19" t="s">
        <v>414</v>
      </c>
      <c r="D89" s="35" t="s">
        <v>52</v>
      </c>
      <c r="E89" s="22" t="s">
        <v>415</v>
      </c>
      <c r="F89" s="45" t="s">
        <v>416</v>
      </c>
      <c r="G89" s="45" t="s">
        <v>417</v>
      </c>
      <c r="H89" s="45" t="s">
        <v>418</v>
      </c>
      <c r="I89" s="45" t="s">
        <v>419</v>
      </c>
      <c r="J89" s="45" t="s">
        <v>420</v>
      </c>
      <c r="K89" s="23" t="s">
        <v>58</v>
      </c>
    </row>
    <row r="90" spans="1:11" ht="30" hidden="1" customHeight="1" x14ac:dyDescent="0.35">
      <c r="A90" s="17">
        <v>89</v>
      </c>
      <c r="B90" s="19" t="s">
        <v>369</v>
      </c>
      <c r="C90" s="19" t="s">
        <v>421</v>
      </c>
      <c r="D90" s="33" t="s">
        <v>27</v>
      </c>
      <c r="E90" s="22" t="s">
        <v>422</v>
      </c>
      <c r="F90" s="24"/>
      <c r="G90" s="24"/>
      <c r="H90" s="24"/>
      <c r="I90" s="24"/>
      <c r="J90" s="24"/>
      <c r="K90" s="24"/>
    </row>
    <row r="91" spans="1:11" ht="30" hidden="1" customHeight="1" x14ac:dyDescent="0.35">
      <c r="A91" s="17">
        <v>90</v>
      </c>
      <c r="B91" s="19" t="s">
        <v>369</v>
      </c>
      <c r="C91" s="19" t="s">
        <v>423</v>
      </c>
      <c r="D91" s="33" t="s">
        <v>27</v>
      </c>
      <c r="E91" s="22" t="s">
        <v>424</v>
      </c>
      <c r="F91" s="24"/>
      <c r="G91" s="24"/>
      <c r="H91" s="24"/>
      <c r="I91" s="24"/>
      <c r="J91" s="24"/>
      <c r="K91" s="24"/>
    </row>
    <row r="92" spans="1:11" ht="29" hidden="1" customHeight="1" x14ac:dyDescent="0.35">
      <c r="A92" s="17">
        <v>91</v>
      </c>
      <c r="B92" s="29" t="s">
        <v>425</v>
      </c>
      <c r="C92" s="19" t="s">
        <v>426</v>
      </c>
      <c r="D92" s="32" t="s">
        <v>13</v>
      </c>
      <c r="E92" s="20" t="s">
        <v>427</v>
      </c>
      <c r="F92" s="24"/>
      <c r="G92" s="24"/>
      <c r="H92" s="24"/>
      <c r="I92" s="24"/>
      <c r="J92" s="24"/>
      <c r="K92" s="24"/>
    </row>
    <row r="93" spans="1:11" ht="29" hidden="1" customHeight="1" x14ac:dyDescent="0.35">
      <c r="A93" s="17">
        <v>92</v>
      </c>
      <c r="B93" s="29" t="s">
        <v>425</v>
      </c>
      <c r="C93" s="19" t="s">
        <v>428</v>
      </c>
      <c r="D93" s="34" t="s">
        <v>40</v>
      </c>
      <c r="E93" s="20" t="s">
        <v>427</v>
      </c>
      <c r="F93" s="24"/>
      <c r="G93" s="24"/>
      <c r="H93" s="24"/>
      <c r="I93" s="24"/>
      <c r="J93" s="24"/>
      <c r="K93" s="24"/>
    </row>
    <row r="94" spans="1:11" ht="30" hidden="1" customHeight="1" x14ac:dyDescent="0.35">
      <c r="A94" s="17">
        <v>93</v>
      </c>
      <c r="B94" s="29" t="s">
        <v>425</v>
      </c>
      <c r="C94" s="19" t="s">
        <v>429</v>
      </c>
      <c r="D94" s="34" t="s">
        <v>40</v>
      </c>
      <c r="E94" s="20" t="s">
        <v>427</v>
      </c>
      <c r="F94" s="24"/>
      <c r="G94" s="24"/>
      <c r="H94" s="24"/>
      <c r="I94" s="24"/>
      <c r="J94" s="24"/>
      <c r="K94" s="24"/>
    </row>
    <row r="95" spans="1:11" ht="30" hidden="1" customHeight="1" x14ac:dyDescent="0.35">
      <c r="A95" s="17">
        <v>94</v>
      </c>
      <c r="B95" s="29" t="s">
        <v>425</v>
      </c>
      <c r="C95" s="19" t="s">
        <v>430</v>
      </c>
      <c r="D95" s="34" t="s">
        <v>40</v>
      </c>
      <c r="E95" s="20" t="s">
        <v>427</v>
      </c>
      <c r="F95" s="24"/>
      <c r="G95" s="24"/>
      <c r="H95" s="24"/>
      <c r="I95" s="24"/>
      <c r="J95" s="24"/>
      <c r="K95" s="24"/>
    </row>
    <row r="96" spans="1:11" ht="30" hidden="1" customHeight="1" x14ac:dyDescent="0.35">
      <c r="A96" s="17">
        <v>95</v>
      </c>
      <c r="B96" s="29" t="s">
        <v>425</v>
      </c>
      <c r="C96" s="19" t="s">
        <v>431</v>
      </c>
      <c r="D96" s="34" t="s">
        <v>40</v>
      </c>
      <c r="E96" s="20" t="s">
        <v>427</v>
      </c>
      <c r="F96" s="24"/>
      <c r="G96" s="24"/>
      <c r="H96" s="24"/>
      <c r="I96" s="24"/>
      <c r="J96" s="24"/>
      <c r="K96" s="24"/>
    </row>
    <row r="97" spans="1:11" ht="29" hidden="1" customHeight="1" x14ac:dyDescent="0.35">
      <c r="A97" s="17">
        <v>96</v>
      </c>
      <c r="B97" s="29" t="s">
        <v>425</v>
      </c>
      <c r="C97" s="19" t="s">
        <v>432</v>
      </c>
      <c r="D97" s="32" t="s">
        <v>13</v>
      </c>
      <c r="E97" s="20" t="s">
        <v>427</v>
      </c>
      <c r="F97" s="24"/>
      <c r="G97" s="24"/>
      <c r="H97" s="24"/>
      <c r="I97" s="24"/>
      <c r="J97" s="24"/>
      <c r="K97" s="24"/>
    </row>
    <row r="98" spans="1:11" ht="29" hidden="1" customHeight="1" x14ac:dyDescent="0.35">
      <c r="A98" s="17">
        <v>97</v>
      </c>
      <c r="B98" s="29" t="s">
        <v>425</v>
      </c>
      <c r="C98" s="19" t="s">
        <v>433</v>
      </c>
      <c r="D98" s="34" t="s">
        <v>40</v>
      </c>
      <c r="E98" s="20" t="s">
        <v>427</v>
      </c>
      <c r="F98" s="24"/>
      <c r="G98" s="24"/>
      <c r="H98" s="24"/>
      <c r="I98" s="24"/>
      <c r="J98" s="24"/>
      <c r="K98" s="24"/>
    </row>
    <row r="99" spans="1:11" ht="30" hidden="1" customHeight="1" x14ac:dyDescent="0.35">
      <c r="A99" s="17">
        <v>98</v>
      </c>
      <c r="B99" s="29" t="s">
        <v>425</v>
      </c>
      <c r="C99" s="19" t="s">
        <v>434</v>
      </c>
      <c r="D99" s="34" t="s">
        <v>40</v>
      </c>
      <c r="E99" s="20" t="s">
        <v>427</v>
      </c>
      <c r="F99" s="24"/>
      <c r="G99" s="24"/>
      <c r="H99" s="24"/>
      <c r="I99" s="24"/>
      <c r="J99" s="24"/>
      <c r="K99" s="24"/>
    </row>
    <row r="100" spans="1:11" ht="14.5" hidden="1" customHeight="1" x14ac:dyDescent="0.35">
      <c r="A100" s="17">
        <v>99</v>
      </c>
      <c r="B100" s="29" t="s">
        <v>425</v>
      </c>
      <c r="C100" s="19" t="s">
        <v>435</v>
      </c>
      <c r="D100" s="34" t="s">
        <v>40</v>
      </c>
      <c r="E100" s="20" t="s">
        <v>427</v>
      </c>
      <c r="F100" s="24"/>
      <c r="G100" s="24"/>
      <c r="H100" s="24"/>
      <c r="I100" s="24"/>
      <c r="J100" s="24"/>
      <c r="K100" s="24"/>
    </row>
    <row r="101" spans="1:11" ht="30" hidden="1" customHeight="1" x14ac:dyDescent="0.35">
      <c r="A101" s="17">
        <v>100</v>
      </c>
      <c r="B101" s="29" t="s">
        <v>425</v>
      </c>
      <c r="C101" s="19" t="s">
        <v>436</v>
      </c>
      <c r="D101" s="34" t="s">
        <v>40</v>
      </c>
      <c r="E101" s="20" t="s">
        <v>427</v>
      </c>
      <c r="F101" s="24"/>
      <c r="G101" s="24"/>
      <c r="H101" s="24"/>
      <c r="I101" s="24"/>
      <c r="J101" s="24"/>
      <c r="K101" s="24"/>
    </row>
    <row r="102" spans="1:11" ht="232" x14ac:dyDescent="0.35">
      <c r="A102" s="17">
        <v>101</v>
      </c>
      <c r="B102" s="19" t="s">
        <v>437</v>
      </c>
      <c r="C102" s="19" t="s">
        <v>438</v>
      </c>
      <c r="D102" s="35" t="s">
        <v>52</v>
      </c>
      <c r="E102" s="22" t="s">
        <v>675</v>
      </c>
      <c r="F102" s="45" t="s">
        <v>684</v>
      </c>
      <c r="G102" s="45" t="s">
        <v>676</v>
      </c>
      <c r="H102" s="45" t="s">
        <v>677</v>
      </c>
      <c r="I102" s="45" t="s">
        <v>691</v>
      </c>
      <c r="J102" s="45" t="s">
        <v>681</v>
      </c>
      <c r="K102" s="21" t="s">
        <v>19</v>
      </c>
    </row>
    <row r="103" spans="1:11" ht="30" hidden="1" customHeight="1" x14ac:dyDescent="0.35">
      <c r="A103" s="17">
        <v>102</v>
      </c>
      <c r="B103" s="19" t="s">
        <v>437</v>
      </c>
      <c r="C103" s="19" t="s">
        <v>439</v>
      </c>
      <c r="D103" s="32" t="s">
        <v>13</v>
      </c>
      <c r="E103" s="20" t="s">
        <v>21</v>
      </c>
      <c r="F103" s="24"/>
      <c r="G103" s="24"/>
      <c r="H103" s="24"/>
      <c r="I103" s="24"/>
      <c r="J103" s="24"/>
      <c r="K103" s="24"/>
    </row>
    <row r="104" spans="1:11" ht="30" hidden="1" customHeight="1" x14ac:dyDescent="0.35">
      <c r="A104" s="17">
        <v>103</v>
      </c>
      <c r="B104" s="19" t="s">
        <v>437</v>
      </c>
      <c r="C104" s="19" t="s">
        <v>440</v>
      </c>
      <c r="D104" s="33" t="s">
        <v>27</v>
      </c>
      <c r="E104" s="20" t="s">
        <v>21</v>
      </c>
      <c r="F104" s="24"/>
      <c r="G104" s="24"/>
      <c r="H104" s="24"/>
      <c r="I104" s="24"/>
      <c r="J104" s="24"/>
      <c r="K104" s="24"/>
    </row>
    <row r="105" spans="1:11" ht="30" hidden="1" customHeight="1" x14ac:dyDescent="0.35">
      <c r="A105" s="17">
        <v>104</v>
      </c>
      <c r="B105" s="19" t="s">
        <v>437</v>
      </c>
      <c r="C105" s="19" t="s">
        <v>441</v>
      </c>
      <c r="D105" s="33" t="s">
        <v>27</v>
      </c>
      <c r="E105" s="20" t="s">
        <v>21</v>
      </c>
      <c r="F105" s="24"/>
      <c r="G105" s="24"/>
      <c r="H105" s="24"/>
      <c r="I105" s="24"/>
      <c r="J105" s="24"/>
      <c r="K105" s="24"/>
    </row>
    <row r="106" spans="1:11" ht="30" hidden="1" customHeight="1" x14ac:dyDescent="0.35">
      <c r="A106" s="17">
        <v>105</v>
      </c>
      <c r="B106" s="19" t="s">
        <v>437</v>
      </c>
      <c r="C106" s="19" t="s">
        <v>442</v>
      </c>
      <c r="D106" s="33" t="s">
        <v>27</v>
      </c>
      <c r="E106" s="20" t="s">
        <v>21</v>
      </c>
      <c r="F106" s="24"/>
      <c r="G106" s="24"/>
      <c r="H106" s="24"/>
      <c r="I106" s="24"/>
      <c r="J106" s="24"/>
      <c r="K106" s="24"/>
    </row>
    <row r="107" spans="1:11" ht="30" hidden="1" customHeight="1" x14ac:dyDescent="0.35">
      <c r="A107" s="17">
        <v>106</v>
      </c>
      <c r="B107" s="19" t="s">
        <v>437</v>
      </c>
      <c r="C107" s="19" t="s">
        <v>443</v>
      </c>
      <c r="D107" s="32" t="s">
        <v>13</v>
      </c>
      <c r="E107" s="20" t="s">
        <v>21</v>
      </c>
      <c r="F107" s="24"/>
      <c r="G107" s="24"/>
      <c r="H107" s="24"/>
      <c r="I107" s="24"/>
      <c r="J107" s="24"/>
      <c r="K107" s="24"/>
    </row>
    <row r="108" spans="1:11" ht="362.5" x14ac:dyDescent="0.35">
      <c r="A108" s="17">
        <v>107</v>
      </c>
      <c r="B108" s="19" t="s">
        <v>437</v>
      </c>
      <c r="C108" s="19" t="s">
        <v>444</v>
      </c>
      <c r="D108" s="35" t="s">
        <v>52</v>
      </c>
      <c r="E108" s="22" t="s">
        <v>678</v>
      </c>
      <c r="F108" s="45" t="s">
        <v>683</v>
      </c>
      <c r="G108" s="45" t="s">
        <v>685</v>
      </c>
      <c r="H108" s="45" t="s">
        <v>679</v>
      </c>
      <c r="I108" s="45" t="s">
        <v>680</v>
      </c>
      <c r="J108" s="45" t="s">
        <v>682</v>
      </c>
      <c r="K108" s="21" t="s">
        <v>19</v>
      </c>
    </row>
    <row r="109" spans="1:11" ht="30" hidden="1" customHeight="1" x14ac:dyDescent="0.35">
      <c r="A109" s="17">
        <v>108</v>
      </c>
      <c r="B109" s="19" t="s">
        <v>437</v>
      </c>
      <c r="C109" s="19" t="s">
        <v>445</v>
      </c>
      <c r="D109" s="33" t="s">
        <v>27</v>
      </c>
      <c r="E109" s="22" t="s">
        <v>446</v>
      </c>
      <c r="F109" s="24"/>
      <c r="G109" s="24"/>
      <c r="H109" s="24"/>
      <c r="I109" s="24"/>
      <c r="J109" s="24"/>
      <c r="K109" s="24"/>
    </row>
    <row r="110" spans="1:11" ht="30" hidden="1" customHeight="1" x14ac:dyDescent="0.35">
      <c r="A110" s="17">
        <v>109</v>
      </c>
      <c r="B110" s="19" t="s">
        <v>437</v>
      </c>
      <c r="C110" s="19" t="s">
        <v>447</v>
      </c>
      <c r="D110" s="32" t="s">
        <v>13</v>
      </c>
      <c r="E110" s="20" t="s">
        <v>21</v>
      </c>
      <c r="F110" s="24"/>
      <c r="G110" s="24"/>
      <c r="H110" s="24"/>
      <c r="I110" s="24"/>
      <c r="J110" s="24"/>
      <c r="K110" s="24"/>
    </row>
    <row r="111" spans="1:11" ht="30" hidden="1" customHeight="1" x14ac:dyDescent="0.35">
      <c r="A111" s="17">
        <v>110</v>
      </c>
      <c r="B111" s="19" t="s">
        <v>437</v>
      </c>
      <c r="C111" s="19" t="s">
        <v>448</v>
      </c>
      <c r="D111" s="32" t="s">
        <v>13</v>
      </c>
      <c r="E111" s="20" t="s">
        <v>21</v>
      </c>
      <c r="F111" s="24"/>
      <c r="G111" s="24"/>
      <c r="H111" s="24"/>
      <c r="I111" s="24"/>
      <c r="J111" s="24"/>
      <c r="K111" s="24"/>
    </row>
    <row r="112" spans="1:11" ht="30" hidden="1" customHeight="1" x14ac:dyDescent="0.35">
      <c r="A112" s="17">
        <v>111</v>
      </c>
      <c r="B112" s="29" t="s">
        <v>449</v>
      </c>
      <c r="C112" s="19" t="s">
        <v>450</v>
      </c>
      <c r="D112" s="32" t="s">
        <v>13</v>
      </c>
      <c r="E112" s="20" t="s">
        <v>21</v>
      </c>
      <c r="F112" s="24"/>
      <c r="G112" s="24"/>
      <c r="H112" s="24"/>
      <c r="I112" s="24"/>
      <c r="J112" s="24"/>
      <c r="K112" s="24"/>
    </row>
    <row r="113" spans="1:11" ht="30" hidden="1" customHeight="1" x14ac:dyDescent="0.35">
      <c r="A113" s="17">
        <v>112</v>
      </c>
      <c r="B113" s="29" t="s">
        <v>449</v>
      </c>
      <c r="C113" s="19" t="s">
        <v>451</v>
      </c>
      <c r="D113" s="33" t="s">
        <v>27</v>
      </c>
      <c r="E113" s="20" t="s">
        <v>452</v>
      </c>
      <c r="F113" s="24"/>
      <c r="G113" s="24"/>
      <c r="H113" s="24"/>
      <c r="I113" s="24"/>
      <c r="J113" s="24"/>
      <c r="K113" s="24"/>
    </row>
    <row r="114" spans="1:11" ht="30" hidden="1" customHeight="1" x14ac:dyDescent="0.35">
      <c r="A114" s="17">
        <v>113</v>
      </c>
      <c r="B114" s="29" t="s">
        <v>449</v>
      </c>
      <c r="C114" s="19" t="s">
        <v>453</v>
      </c>
      <c r="D114" s="33" t="s">
        <v>27</v>
      </c>
      <c r="E114" s="20" t="s">
        <v>21</v>
      </c>
      <c r="F114" s="24"/>
      <c r="G114" s="24"/>
      <c r="H114" s="24"/>
      <c r="I114" s="24"/>
      <c r="J114" s="24"/>
      <c r="K114" s="24"/>
    </row>
    <row r="115" spans="1:11" ht="30" hidden="1" customHeight="1" x14ac:dyDescent="0.35">
      <c r="A115" s="17">
        <v>114</v>
      </c>
      <c r="B115" s="29" t="s">
        <v>449</v>
      </c>
      <c r="C115" s="19" t="s">
        <v>454</v>
      </c>
      <c r="D115" s="32" t="s">
        <v>13</v>
      </c>
      <c r="E115" s="20" t="s">
        <v>21</v>
      </c>
      <c r="F115" s="24"/>
      <c r="G115" s="24"/>
      <c r="H115" s="24"/>
      <c r="I115" s="24"/>
      <c r="J115" s="24"/>
      <c r="K115" s="24"/>
    </row>
    <row r="116" spans="1:11" ht="29.15" hidden="1" customHeight="1" x14ac:dyDescent="0.35">
      <c r="A116" s="17">
        <v>115</v>
      </c>
      <c r="B116" s="29" t="s">
        <v>449</v>
      </c>
      <c r="C116" s="19" t="s">
        <v>455</v>
      </c>
      <c r="D116" s="33" t="s">
        <v>27</v>
      </c>
      <c r="E116" s="30" t="s">
        <v>456</v>
      </c>
      <c r="F116" s="24"/>
      <c r="G116" s="24"/>
      <c r="H116" s="24"/>
      <c r="I116" s="24"/>
      <c r="J116" s="24"/>
      <c r="K116" s="24"/>
    </row>
    <row r="117" spans="1:11" ht="30" hidden="1" customHeight="1" x14ac:dyDescent="0.35">
      <c r="A117" s="17">
        <v>116</v>
      </c>
      <c r="B117" s="29" t="s">
        <v>449</v>
      </c>
      <c r="C117" s="19" t="s">
        <v>457</v>
      </c>
      <c r="D117" s="33" t="s">
        <v>27</v>
      </c>
      <c r="E117" s="20" t="s">
        <v>21</v>
      </c>
      <c r="F117" s="24"/>
      <c r="G117" s="24"/>
      <c r="H117" s="24"/>
      <c r="I117" s="24"/>
      <c r="J117" s="24"/>
      <c r="K117" s="24"/>
    </row>
    <row r="118" spans="1:11" ht="30" hidden="1" customHeight="1" x14ac:dyDescent="0.35">
      <c r="A118" s="17">
        <v>117</v>
      </c>
      <c r="B118" s="29" t="s">
        <v>449</v>
      </c>
      <c r="C118" s="19" t="s">
        <v>458</v>
      </c>
      <c r="D118" s="32" t="s">
        <v>13</v>
      </c>
      <c r="E118" s="20" t="s">
        <v>21</v>
      </c>
      <c r="F118" s="24"/>
      <c r="G118" s="24"/>
      <c r="H118" s="24"/>
      <c r="I118" s="24"/>
      <c r="J118" s="24"/>
      <c r="K118" s="24"/>
    </row>
    <row r="119" spans="1:11" ht="30" hidden="1" customHeight="1" x14ac:dyDescent="0.35">
      <c r="A119" s="17">
        <v>118</v>
      </c>
      <c r="B119" s="29" t="s">
        <v>449</v>
      </c>
      <c r="C119" s="19" t="s">
        <v>459</v>
      </c>
      <c r="D119" s="33" t="s">
        <v>27</v>
      </c>
      <c r="E119" s="20" t="s">
        <v>21</v>
      </c>
      <c r="F119" s="24"/>
      <c r="G119" s="24"/>
      <c r="H119" s="24"/>
      <c r="I119" s="24"/>
      <c r="J119" s="24"/>
      <c r="K119" s="24"/>
    </row>
    <row r="120" spans="1:11" ht="30" hidden="1" customHeight="1" x14ac:dyDescent="0.35">
      <c r="A120" s="17">
        <v>119</v>
      </c>
      <c r="B120" s="29" t="s">
        <v>449</v>
      </c>
      <c r="C120" s="19" t="s">
        <v>460</v>
      </c>
      <c r="D120" s="33" t="s">
        <v>27</v>
      </c>
      <c r="E120" s="20" t="s">
        <v>21</v>
      </c>
      <c r="F120" s="24"/>
      <c r="G120" s="24"/>
      <c r="H120" s="24"/>
      <c r="I120" s="24"/>
      <c r="J120" s="24"/>
      <c r="K120" s="24"/>
    </row>
    <row r="121" spans="1:11" ht="30" hidden="1" customHeight="1" x14ac:dyDescent="0.35">
      <c r="A121" s="17">
        <v>120</v>
      </c>
      <c r="B121" s="29" t="s">
        <v>449</v>
      </c>
      <c r="C121" s="19" t="s">
        <v>461</v>
      </c>
      <c r="D121" s="33" t="s">
        <v>27</v>
      </c>
      <c r="E121" s="20" t="s">
        <v>21</v>
      </c>
      <c r="F121" s="24"/>
      <c r="G121" s="24"/>
      <c r="H121" s="24"/>
      <c r="I121" s="24"/>
      <c r="J121" s="24"/>
      <c r="K121" s="24"/>
    </row>
    <row r="122" spans="1:11" ht="30" hidden="1" customHeight="1" x14ac:dyDescent="0.35">
      <c r="A122" s="17">
        <v>121</v>
      </c>
      <c r="B122" s="29" t="s">
        <v>462</v>
      </c>
      <c r="C122" s="19" t="s">
        <v>463</v>
      </c>
      <c r="D122" s="33" t="s">
        <v>27</v>
      </c>
      <c r="E122" s="27" t="s">
        <v>464</v>
      </c>
      <c r="F122" s="24"/>
      <c r="G122" s="24"/>
      <c r="H122" s="24"/>
      <c r="I122" s="24"/>
      <c r="J122" s="24"/>
      <c r="K122" s="24"/>
    </row>
    <row r="123" spans="1:11" ht="30" hidden="1" customHeight="1" x14ac:dyDescent="0.35">
      <c r="A123" s="17">
        <v>122</v>
      </c>
      <c r="B123" s="29" t="s">
        <v>462</v>
      </c>
      <c r="C123" s="19" t="s">
        <v>465</v>
      </c>
      <c r="D123" s="33" t="s">
        <v>27</v>
      </c>
      <c r="E123" s="27" t="s">
        <v>466</v>
      </c>
      <c r="F123" s="24"/>
      <c r="G123" s="24"/>
      <c r="H123" s="24"/>
      <c r="I123" s="24"/>
      <c r="J123" s="24"/>
      <c r="K123" s="24"/>
    </row>
    <row r="124" spans="1:11" ht="30" hidden="1" customHeight="1" x14ac:dyDescent="0.35">
      <c r="A124" s="17">
        <v>123</v>
      </c>
      <c r="B124" s="29" t="s">
        <v>462</v>
      </c>
      <c r="C124" s="19" t="s">
        <v>467</v>
      </c>
      <c r="D124" s="32" t="s">
        <v>13</v>
      </c>
      <c r="E124" s="20" t="s">
        <v>21</v>
      </c>
      <c r="F124" s="24"/>
      <c r="G124" s="24"/>
      <c r="H124" s="24"/>
      <c r="I124" s="24"/>
      <c r="J124" s="24"/>
      <c r="K124" s="24"/>
    </row>
    <row r="125" spans="1:11" ht="30" hidden="1" customHeight="1" x14ac:dyDescent="0.35">
      <c r="A125" s="17">
        <v>124</v>
      </c>
      <c r="B125" s="29" t="s">
        <v>462</v>
      </c>
      <c r="C125" s="19" t="s">
        <v>468</v>
      </c>
      <c r="D125" s="32" t="s">
        <v>13</v>
      </c>
      <c r="E125" s="20" t="s">
        <v>21</v>
      </c>
      <c r="F125" s="24"/>
      <c r="G125" s="24"/>
      <c r="H125" s="24"/>
      <c r="I125" s="24"/>
      <c r="J125" s="24"/>
      <c r="K125" s="24"/>
    </row>
    <row r="126" spans="1:11" ht="30" hidden="1" customHeight="1" x14ac:dyDescent="0.35">
      <c r="A126" s="17">
        <v>125</v>
      </c>
      <c r="B126" s="29" t="s">
        <v>462</v>
      </c>
      <c r="C126" s="19" t="s">
        <v>469</v>
      </c>
      <c r="D126" s="32" t="s">
        <v>13</v>
      </c>
      <c r="E126" s="20" t="s">
        <v>21</v>
      </c>
      <c r="F126" s="24"/>
      <c r="G126" s="24"/>
      <c r="H126" s="24"/>
      <c r="I126" s="24"/>
      <c r="J126" s="24"/>
      <c r="K126" s="24"/>
    </row>
    <row r="127" spans="1:11" ht="30" hidden="1" customHeight="1" x14ac:dyDescent="0.35">
      <c r="A127" s="17">
        <v>126</v>
      </c>
      <c r="B127" s="29" t="s">
        <v>462</v>
      </c>
      <c r="C127" s="19" t="s">
        <v>470</v>
      </c>
      <c r="D127" s="32" t="s">
        <v>13</v>
      </c>
      <c r="E127" s="20" t="s">
        <v>21</v>
      </c>
      <c r="F127" s="24"/>
      <c r="G127" s="24"/>
      <c r="H127" s="24"/>
      <c r="I127" s="24"/>
      <c r="J127" s="24"/>
      <c r="K127" s="24"/>
    </row>
    <row r="128" spans="1:11" ht="30" hidden="1" customHeight="1" x14ac:dyDescent="0.35">
      <c r="A128" s="17">
        <v>127</v>
      </c>
      <c r="B128" s="29" t="s">
        <v>462</v>
      </c>
      <c r="C128" s="19" t="s">
        <v>471</v>
      </c>
      <c r="D128" s="32" t="s">
        <v>13</v>
      </c>
      <c r="E128" s="20" t="s">
        <v>21</v>
      </c>
      <c r="F128" s="24"/>
      <c r="G128" s="24"/>
      <c r="H128" s="24"/>
      <c r="I128" s="24"/>
      <c r="J128" s="24"/>
      <c r="K128" s="24"/>
    </row>
    <row r="129" spans="1:11" ht="30" hidden="1" customHeight="1" x14ac:dyDescent="0.35">
      <c r="A129" s="17">
        <v>128</v>
      </c>
      <c r="B129" s="29" t="s">
        <v>462</v>
      </c>
      <c r="C129" s="19" t="s">
        <v>472</v>
      </c>
      <c r="D129" s="32" t="s">
        <v>13</v>
      </c>
      <c r="E129" s="20" t="s">
        <v>21</v>
      </c>
      <c r="F129" s="24"/>
      <c r="G129" s="24"/>
      <c r="H129" s="24"/>
      <c r="I129" s="24"/>
      <c r="J129" s="24"/>
      <c r="K129" s="24"/>
    </row>
    <row r="130" spans="1:11" ht="30" hidden="1" customHeight="1" x14ac:dyDescent="0.35">
      <c r="A130" s="17">
        <v>129</v>
      </c>
      <c r="B130" s="29" t="s">
        <v>462</v>
      </c>
      <c r="C130" s="19" t="s">
        <v>473</v>
      </c>
      <c r="D130" s="32" t="s">
        <v>13</v>
      </c>
      <c r="E130" s="20" t="s">
        <v>21</v>
      </c>
      <c r="F130" s="24"/>
      <c r="G130" s="24"/>
      <c r="H130" s="24"/>
      <c r="I130" s="24"/>
      <c r="J130" s="24"/>
      <c r="K130" s="24"/>
    </row>
    <row r="131" spans="1:11" ht="30" hidden="1" customHeight="1" x14ac:dyDescent="0.35">
      <c r="A131" s="17">
        <v>130</v>
      </c>
      <c r="B131" s="29" t="s">
        <v>462</v>
      </c>
      <c r="C131" s="19" t="s">
        <v>474</v>
      </c>
      <c r="D131" s="32" t="s">
        <v>13</v>
      </c>
      <c r="E131" s="20" t="s">
        <v>21</v>
      </c>
      <c r="F131" s="24"/>
      <c r="G131" s="24"/>
      <c r="H131" s="24"/>
      <c r="I131" s="24"/>
      <c r="J131" s="24"/>
      <c r="K131" s="24"/>
    </row>
    <row r="132" spans="1:11" ht="30" hidden="1" customHeight="1" x14ac:dyDescent="0.35">
      <c r="A132" s="17">
        <v>131</v>
      </c>
      <c r="B132" s="19" t="s">
        <v>475</v>
      </c>
      <c r="C132" s="19" t="s">
        <v>476</v>
      </c>
      <c r="D132" s="32" t="s">
        <v>13</v>
      </c>
      <c r="E132" s="20" t="s">
        <v>477</v>
      </c>
      <c r="F132" s="24"/>
      <c r="G132" s="24"/>
      <c r="H132" s="24"/>
      <c r="I132" s="24"/>
      <c r="J132" s="24"/>
      <c r="K132" s="24"/>
    </row>
    <row r="133" spans="1:11" ht="30" hidden="1" customHeight="1" x14ac:dyDescent="0.35">
      <c r="A133" s="17">
        <v>132</v>
      </c>
      <c r="B133" s="19" t="s">
        <v>475</v>
      </c>
      <c r="C133" s="19" t="s">
        <v>478</v>
      </c>
      <c r="D133" s="32" t="s">
        <v>13</v>
      </c>
      <c r="E133" s="20" t="s">
        <v>21</v>
      </c>
      <c r="F133" s="24"/>
      <c r="G133" s="24"/>
      <c r="H133" s="24"/>
      <c r="I133" s="24"/>
      <c r="J133" s="24"/>
      <c r="K133" s="24"/>
    </row>
    <row r="134" spans="1:11" ht="30" hidden="1" customHeight="1" x14ac:dyDescent="0.35">
      <c r="A134" s="17">
        <v>133</v>
      </c>
      <c r="B134" s="19" t="s">
        <v>475</v>
      </c>
      <c r="C134" s="19" t="s">
        <v>479</v>
      </c>
      <c r="D134" s="32" t="s">
        <v>13</v>
      </c>
      <c r="E134" s="20" t="s">
        <v>21</v>
      </c>
      <c r="F134" s="24"/>
      <c r="G134" s="24"/>
      <c r="H134" s="24"/>
      <c r="I134" s="24"/>
      <c r="J134" s="24"/>
      <c r="K134" s="24"/>
    </row>
    <row r="135" spans="1:11" ht="145" x14ac:dyDescent="0.35">
      <c r="A135" s="17">
        <v>134</v>
      </c>
      <c r="B135" s="19" t="s">
        <v>475</v>
      </c>
      <c r="C135" s="19" t="s">
        <v>480</v>
      </c>
      <c r="D135" s="35" t="s">
        <v>52</v>
      </c>
      <c r="E135" s="22" t="s">
        <v>481</v>
      </c>
      <c r="F135" s="45" t="s">
        <v>688</v>
      </c>
      <c r="G135" s="45" t="s">
        <v>686</v>
      </c>
      <c r="H135" s="45" t="s">
        <v>687</v>
      </c>
      <c r="I135" s="45" t="s">
        <v>689</v>
      </c>
      <c r="J135" s="45" t="s">
        <v>690</v>
      </c>
      <c r="K135" s="21" t="s">
        <v>19</v>
      </c>
    </row>
    <row r="136" spans="1:11" ht="30" hidden="1" customHeight="1" x14ac:dyDescent="0.35">
      <c r="A136" s="17">
        <v>135</v>
      </c>
      <c r="B136" s="19" t="s">
        <v>475</v>
      </c>
      <c r="C136" s="19" t="s">
        <v>482</v>
      </c>
      <c r="D136" s="33" t="s">
        <v>27</v>
      </c>
      <c r="E136" s="22" t="s">
        <v>483</v>
      </c>
      <c r="F136" s="24"/>
      <c r="G136" s="24"/>
      <c r="H136" s="24"/>
      <c r="I136" s="24"/>
      <c r="J136" s="24"/>
      <c r="K136" s="24"/>
    </row>
    <row r="137" spans="1:11" ht="30" hidden="1" customHeight="1" x14ac:dyDescent="0.35">
      <c r="A137" s="17">
        <v>136</v>
      </c>
      <c r="B137" s="19" t="s">
        <v>475</v>
      </c>
      <c r="C137" s="19" t="s">
        <v>484</v>
      </c>
      <c r="D137" s="32" t="s">
        <v>13</v>
      </c>
      <c r="E137" s="20" t="s">
        <v>21</v>
      </c>
      <c r="F137" s="24"/>
      <c r="G137" s="24"/>
      <c r="H137" s="24"/>
      <c r="I137" s="24"/>
      <c r="J137" s="24"/>
      <c r="K137" s="24"/>
    </row>
    <row r="138" spans="1:11" ht="30" hidden="1" customHeight="1" x14ac:dyDescent="0.35">
      <c r="A138" s="17">
        <v>137</v>
      </c>
      <c r="B138" s="19" t="s">
        <v>475</v>
      </c>
      <c r="C138" s="19" t="s">
        <v>485</v>
      </c>
      <c r="D138" s="32" t="s">
        <v>13</v>
      </c>
      <c r="E138" s="20" t="s">
        <v>486</v>
      </c>
      <c r="F138" s="24"/>
      <c r="G138" s="24"/>
      <c r="H138" s="24"/>
      <c r="I138" s="24"/>
      <c r="J138" s="24"/>
      <c r="K138" s="24"/>
    </row>
    <row r="139" spans="1:11" ht="112.5" hidden="1" customHeight="1" x14ac:dyDescent="0.35">
      <c r="A139" s="17">
        <v>138</v>
      </c>
      <c r="B139" s="19" t="s">
        <v>475</v>
      </c>
      <c r="C139" s="19" t="s">
        <v>487</v>
      </c>
      <c r="D139" s="33" t="s">
        <v>27</v>
      </c>
      <c r="E139" s="26" t="s">
        <v>488</v>
      </c>
      <c r="F139" s="24"/>
      <c r="G139" s="24"/>
      <c r="H139" s="24"/>
      <c r="I139" s="24"/>
      <c r="J139" s="24"/>
      <c r="K139" s="24"/>
    </row>
    <row r="140" spans="1:11" ht="30" hidden="1" customHeight="1" x14ac:dyDescent="0.35">
      <c r="A140" s="17">
        <v>139</v>
      </c>
      <c r="B140" s="19" t="s">
        <v>475</v>
      </c>
      <c r="C140" s="19" t="s">
        <v>489</v>
      </c>
      <c r="D140" s="34" t="s">
        <v>40</v>
      </c>
      <c r="E140" s="20" t="s">
        <v>490</v>
      </c>
      <c r="F140" s="24"/>
      <c r="G140" s="24"/>
      <c r="H140" s="24"/>
      <c r="I140" s="24"/>
      <c r="J140" s="24"/>
      <c r="K140" s="24"/>
    </row>
    <row r="141" spans="1:11" ht="30" hidden="1" customHeight="1" x14ac:dyDescent="0.35">
      <c r="A141" s="17">
        <v>140</v>
      </c>
      <c r="B141" s="19" t="s">
        <v>475</v>
      </c>
      <c r="C141" s="19" t="s">
        <v>491</v>
      </c>
      <c r="D141" s="34" t="s">
        <v>40</v>
      </c>
      <c r="E141" s="20" t="s">
        <v>21</v>
      </c>
      <c r="F141" s="24"/>
      <c r="G141" s="24"/>
      <c r="H141" s="24"/>
      <c r="I141" s="24"/>
      <c r="J141" s="24"/>
      <c r="K141" s="24"/>
    </row>
    <row r="142" spans="1:11" ht="217.5" customHeight="1" x14ac:dyDescent="0.35">
      <c r="A142" s="17">
        <v>141</v>
      </c>
      <c r="B142" s="19" t="s">
        <v>492</v>
      </c>
      <c r="C142" s="19" t="s">
        <v>493</v>
      </c>
      <c r="D142" s="35" t="s">
        <v>52</v>
      </c>
      <c r="E142" s="20" t="s">
        <v>21</v>
      </c>
      <c r="F142" s="45" t="s">
        <v>494</v>
      </c>
      <c r="G142" s="45" t="s">
        <v>495</v>
      </c>
      <c r="H142" s="45" t="s">
        <v>496</v>
      </c>
      <c r="I142" s="45" t="s">
        <v>497</v>
      </c>
      <c r="J142" s="45" t="s">
        <v>498</v>
      </c>
      <c r="K142" s="21" t="s">
        <v>19</v>
      </c>
    </row>
    <row r="143" spans="1:11" ht="30" hidden="1" customHeight="1" x14ac:dyDescent="0.35">
      <c r="A143" s="17">
        <v>142</v>
      </c>
      <c r="B143" s="19" t="s">
        <v>492</v>
      </c>
      <c r="C143" s="19" t="s">
        <v>499</v>
      </c>
      <c r="D143" s="33" t="s">
        <v>27</v>
      </c>
      <c r="E143" s="20" t="s">
        <v>21</v>
      </c>
      <c r="F143" s="24"/>
      <c r="G143" s="24"/>
      <c r="H143" s="24"/>
      <c r="I143" s="24"/>
      <c r="J143" s="24"/>
      <c r="K143" s="24"/>
    </row>
    <row r="144" spans="1:11" ht="333.5" x14ac:dyDescent="0.35">
      <c r="A144" s="17">
        <v>143</v>
      </c>
      <c r="B144" s="19" t="s">
        <v>492</v>
      </c>
      <c r="C144" s="19" t="s">
        <v>500</v>
      </c>
      <c r="D144" s="35" t="s">
        <v>52</v>
      </c>
      <c r="E144" s="20" t="s">
        <v>21</v>
      </c>
      <c r="F144" s="45" t="s">
        <v>501</v>
      </c>
      <c r="G144" s="45" t="s">
        <v>502</v>
      </c>
      <c r="H144" s="45" t="s">
        <v>503</v>
      </c>
      <c r="I144" s="45" t="s">
        <v>504</v>
      </c>
      <c r="J144" s="45" t="s">
        <v>672</v>
      </c>
      <c r="K144" s="48" t="s">
        <v>19</v>
      </c>
    </row>
    <row r="145" spans="1:11" ht="30" hidden="1" customHeight="1" x14ac:dyDescent="0.35">
      <c r="A145" s="17">
        <v>144</v>
      </c>
      <c r="B145" s="19" t="s">
        <v>492</v>
      </c>
      <c r="C145" s="19" t="s">
        <v>505</v>
      </c>
      <c r="D145" s="32" t="s">
        <v>13</v>
      </c>
      <c r="E145" s="20" t="s">
        <v>21</v>
      </c>
      <c r="F145" s="24"/>
      <c r="G145" s="24"/>
      <c r="H145" s="24"/>
      <c r="I145" s="24"/>
      <c r="J145" s="24"/>
      <c r="K145" s="24"/>
    </row>
    <row r="146" spans="1:11" ht="217.5" customHeight="1" x14ac:dyDescent="0.35">
      <c r="A146" s="17">
        <v>145</v>
      </c>
      <c r="B146" s="19" t="s">
        <v>492</v>
      </c>
      <c r="C146" s="19" t="s">
        <v>506</v>
      </c>
      <c r="D146" s="35" t="s">
        <v>52</v>
      </c>
      <c r="E146" s="20" t="s">
        <v>507</v>
      </c>
      <c r="F146" s="45" t="s">
        <v>508</v>
      </c>
      <c r="G146" s="45" t="s">
        <v>509</v>
      </c>
      <c r="H146" s="45" t="s">
        <v>510</v>
      </c>
      <c r="I146" s="45" t="s">
        <v>511</v>
      </c>
      <c r="J146" s="45" t="s">
        <v>512</v>
      </c>
      <c r="K146" s="21" t="s">
        <v>19</v>
      </c>
    </row>
    <row r="147" spans="1:11" ht="30" hidden="1" customHeight="1" x14ac:dyDescent="0.35">
      <c r="A147" s="17">
        <v>146</v>
      </c>
      <c r="B147" s="19" t="s">
        <v>492</v>
      </c>
      <c r="C147" s="19" t="s">
        <v>513</v>
      </c>
      <c r="D147" s="33" t="s">
        <v>27</v>
      </c>
      <c r="E147" s="20" t="s">
        <v>21</v>
      </c>
      <c r="F147" s="24"/>
      <c r="G147" s="24"/>
      <c r="H147" s="24"/>
      <c r="I147" s="24"/>
      <c r="J147" s="24"/>
      <c r="K147" s="24"/>
    </row>
    <row r="148" spans="1:11" ht="232" customHeight="1" x14ac:dyDescent="0.35">
      <c r="A148" s="17">
        <v>147</v>
      </c>
      <c r="B148" s="19" t="s">
        <v>492</v>
      </c>
      <c r="C148" s="19" t="s">
        <v>514</v>
      </c>
      <c r="D148" s="35" t="s">
        <v>52</v>
      </c>
      <c r="E148" s="22" t="s">
        <v>515</v>
      </c>
      <c r="F148" s="45" t="s">
        <v>516</v>
      </c>
      <c r="G148" s="45" t="s">
        <v>517</v>
      </c>
      <c r="H148" s="45" t="s">
        <v>518</v>
      </c>
      <c r="I148" s="45" t="s">
        <v>519</v>
      </c>
      <c r="J148" s="45" t="s">
        <v>674</v>
      </c>
      <c r="K148" s="47" t="s">
        <v>19</v>
      </c>
    </row>
    <row r="149" spans="1:11" ht="30" hidden="1" customHeight="1" x14ac:dyDescent="0.35">
      <c r="A149" s="17">
        <v>148</v>
      </c>
      <c r="B149" s="19" t="s">
        <v>492</v>
      </c>
      <c r="C149" s="19" t="s">
        <v>520</v>
      </c>
      <c r="D149" s="33" t="s">
        <v>27</v>
      </c>
      <c r="E149" s="20" t="s">
        <v>21</v>
      </c>
      <c r="F149" s="24"/>
      <c r="G149" s="24"/>
      <c r="H149" s="24"/>
      <c r="I149" s="24"/>
      <c r="J149" s="24"/>
      <c r="K149" s="24"/>
    </row>
    <row r="150" spans="1:11" ht="217.5" customHeight="1" x14ac:dyDescent="0.35">
      <c r="A150" s="17">
        <v>149</v>
      </c>
      <c r="B150" s="19" t="s">
        <v>492</v>
      </c>
      <c r="C150" s="19" t="s">
        <v>521</v>
      </c>
      <c r="D150" s="35" t="s">
        <v>52</v>
      </c>
      <c r="E150" s="20" t="s">
        <v>21</v>
      </c>
      <c r="F150" s="45" t="s">
        <v>522</v>
      </c>
      <c r="G150" s="45" t="s">
        <v>523</v>
      </c>
      <c r="H150" s="45" t="s">
        <v>524</v>
      </c>
      <c r="I150" s="45" t="s">
        <v>525</v>
      </c>
      <c r="J150" s="45" t="s">
        <v>526</v>
      </c>
      <c r="K150" s="21" t="s">
        <v>19</v>
      </c>
    </row>
    <row r="151" spans="1:11" ht="30" hidden="1" customHeight="1" x14ac:dyDescent="0.35">
      <c r="A151" s="17">
        <v>150</v>
      </c>
      <c r="B151" s="19" t="s">
        <v>492</v>
      </c>
      <c r="C151" s="19" t="s">
        <v>527</v>
      </c>
      <c r="D151" s="33" t="s">
        <v>27</v>
      </c>
      <c r="E151" s="20" t="s">
        <v>21</v>
      </c>
      <c r="F151" s="24"/>
      <c r="G151" s="24"/>
      <c r="H151" s="24"/>
      <c r="I151" s="24"/>
      <c r="J151" s="24"/>
      <c r="K151" s="24"/>
    </row>
    <row r="152" spans="1:11" ht="30" hidden="1" customHeight="1" x14ac:dyDescent="0.35">
      <c r="A152" s="17">
        <v>151</v>
      </c>
      <c r="B152" s="19" t="s">
        <v>528</v>
      </c>
      <c r="C152" s="19" t="s">
        <v>529</v>
      </c>
      <c r="D152" s="33" t="s">
        <v>27</v>
      </c>
      <c r="E152" s="20" t="s">
        <v>21</v>
      </c>
      <c r="F152" s="24"/>
      <c r="G152" s="24"/>
      <c r="H152" s="24"/>
      <c r="I152" s="24"/>
      <c r="J152" s="24"/>
      <c r="K152" s="24"/>
    </row>
    <row r="153" spans="1:11" ht="30" customHeight="1" x14ac:dyDescent="0.35">
      <c r="A153" s="17">
        <v>152</v>
      </c>
      <c r="B153" s="19" t="s">
        <v>528</v>
      </c>
      <c r="C153" s="19" t="s">
        <v>530</v>
      </c>
      <c r="D153" s="35" t="s">
        <v>52</v>
      </c>
      <c r="E153" s="22" t="s">
        <v>531</v>
      </c>
      <c r="F153" s="45" t="s">
        <v>532</v>
      </c>
      <c r="G153" s="45" t="s">
        <v>533</v>
      </c>
      <c r="H153" s="45" t="s">
        <v>248</v>
      </c>
      <c r="I153" s="45" t="s">
        <v>534</v>
      </c>
      <c r="J153" s="45" t="s">
        <v>535</v>
      </c>
      <c r="K153" s="24" t="s">
        <v>19</v>
      </c>
    </row>
    <row r="154" spans="1:11" ht="30" customHeight="1" x14ac:dyDescent="0.35">
      <c r="A154" s="17">
        <v>153</v>
      </c>
      <c r="B154" s="19" t="s">
        <v>528</v>
      </c>
      <c r="C154" s="19" t="s">
        <v>536</v>
      </c>
      <c r="D154" s="35" t="s">
        <v>52</v>
      </c>
      <c r="E154" s="22" t="s">
        <v>537</v>
      </c>
      <c r="F154" s="45" t="s">
        <v>538</v>
      </c>
      <c r="G154" s="45" t="s">
        <v>539</v>
      </c>
      <c r="H154" s="45" t="s">
        <v>540</v>
      </c>
      <c r="I154" s="45" t="s">
        <v>541</v>
      </c>
      <c r="J154" s="45" t="s">
        <v>542</v>
      </c>
      <c r="K154" s="24" t="s">
        <v>19</v>
      </c>
    </row>
    <row r="155" spans="1:11" ht="30" hidden="1" customHeight="1" x14ac:dyDescent="0.35">
      <c r="A155" s="17">
        <v>154</v>
      </c>
      <c r="B155" s="19" t="s">
        <v>528</v>
      </c>
      <c r="C155" s="19" t="s">
        <v>543</v>
      </c>
      <c r="D155" s="32" t="s">
        <v>13</v>
      </c>
      <c r="E155" s="20" t="s">
        <v>21</v>
      </c>
      <c r="F155" s="24"/>
      <c r="G155" s="24"/>
      <c r="H155" s="24"/>
      <c r="I155" s="24"/>
      <c r="J155" s="24"/>
      <c r="K155" s="24"/>
    </row>
    <row r="156" spans="1:11" ht="30" customHeight="1" x14ac:dyDescent="0.35">
      <c r="A156" s="17">
        <v>155</v>
      </c>
      <c r="B156" s="19" t="s">
        <v>528</v>
      </c>
      <c r="C156" s="19" t="s">
        <v>544</v>
      </c>
      <c r="D156" s="35" t="s">
        <v>52</v>
      </c>
      <c r="E156" s="22" t="s">
        <v>545</v>
      </c>
      <c r="F156" s="45" t="s">
        <v>546</v>
      </c>
      <c r="G156" s="45" t="s">
        <v>547</v>
      </c>
      <c r="H156" s="45" t="s">
        <v>548</v>
      </c>
      <c r="I156" s="45" t="s">
        <v>549</v>
      </c>
      <c r="J156" s="45" t="s">
        <v>550</v>
      </c>
      <c r="K156" s="24" t="s">
        <v>19</v>
      </c>
    </row>
    <row r="157" spans="1:11" ht="30" customHeight="1" x14ac:dyDescent="0.35">
      <c r="A157" s="17">
        <v>156</v>
      </c>
      <c r="B157" s="19" t="s">
        <v>528</v>
      </c>
      <c r="C157" s="19" t="s">
        <v>551</v>
      </c>
      <c r="D157" s="35" t="s">
        <v>52</v>
      </c>
      <c r="E157" s="22" t="s">
        <v>552</v>
      </c>
      <c r="F157" s="45" t="s">
        <v>553</v>
      </c>
      <c r="G157" s="45" t="s">
        <v>554</v>
      </c>
      <c r="H157" s="45" t="s">
        <v>555</v>
      </c>
      <c r="I157" s="45" t="s">
        <v>556</v>
      </c>
      <c r="J157" s="45" t="s">
        <v>557</v>
      </c>
      <c r="K157" s="24" t="s">
        <v>19</v>
      </c>
    </row>
    <row r="158" spans="1:11" ht="30" customHeight="1" x14ac:dyDescent="0.35">
      <c r="A158" s="17">
        <v>157</v>
      </c>
      <c r="B158" s="19" t="s">
        <v>528</v>
      </c>
      <c r="C158" s="19" t="s">
        <v>558</v>
      </c>
      <c r="D158" s="35" t="s">
        <v>52</v>
      </c>
      <c r="E158" s="22" t="s">
        <v>559</v>
      </c>
      <c r="F158" s="45" t="s">
        <v>560</v>
      </c>
      <c r="G158" s="45" t="s">
        <v>561</v>
      </c>
      <c r="H158" s="45" t="s">
        <v>562</v>
      </c>
      <c r="I158" s="45" t="s">
        <v>563</v>
      </c>
      <c r="J158" s="45" t="s">
        <v>564</v>
      </c>
      <c r="K158" s="24" t="s">
        <v>19</v>
      </c>
    </row>
    <row r="159" spans="1:11" ht="30" hidden="1" customHeight="1" x14ac:dyDescent="0.35">
      <c r="A159" s="17">
        <v>158</v>
      </c>
      <c r="B159" s="19" t="s">
        <v>528</v>
      </c>
      <c r="C159" s="19" t="s">
        <v>565</v>
      </c>
      <c r="D159" s="32" t="s">
        <v>13</v>
      </c>
      <c r="E159" s="20" t="s">
        <v>566</v>
      </c>
      <c r="F159" s="24"/>
      <c r="G159" s="24"/>
      <c r="H159" s="24"/>
      <c r="I159" s="24"/>
      <c r="J159" s="24"/>
      <c r="K159" s="24"/>
    </row>
    <row r="160" spans="1:11" ht="30" hidden="1" customHeight="1" x14ac:dyDescent="0.35">
      <c r="A160" s="17">
        <v>159</v>
      </c>
      <c r="B160" s="19" t="s">
        <v>528</v>
      </c>
      <c r="C160" s="19" t="s">
        <v>567</v>
      </c>
      <c r="D160" s="32" t="s">
        <v>13</v>
      </c>
      <c r="E160" s="20" t="s">
        <v>21</v>
      </c>
      <c r="F160" s="24"/>
      <c r="G160" s="24"/>
      <c r="H160" s="24"/>
      <c r="I160" s="24"/>
      <c r="J160" s="24"/>
      <c r="K160" s="24"/>
    </row>
    <row r="161" spans="1:11" ht="121.5" hidden="1" customHeight="1" x14ac:dyDescent="0.35">
      <c r="A161" s="17">
        <v>160</v>
      </c>
      <c r="B161" s="19" t="s">
        <v>528</v>
      </c>
      <c r="C161" s="19" t="s">
        <v>568</v>
      </c>
      <c r="D161" s="33" t="s">
        <v>27</v>
      </c>
      <c r="E161" s="26" t="s">
        <v>569</v>
      </c>
      <c r="F161" s="24"/>
      <c r="G161" s="24"/>
      <c r="H161" s="24"/>
      <c r="I161" s="24"/>
      <c r="J161" s="24"/>
      <c r="K161" s="24"/>
    </row>
    <row r="162" spans="1:11" ht="45" hidden="1" customHeight="1" x14ac:dyDescent="0.35">
      <c r="A162" s="17">
        <v>161</v>
      </c>
      <c r="B162" s="19" t="s">
        <v>570</v>
      </c>
      <c r="C162" s="19" t="s">
        <v>571</v>
      </c>
      <c r="D162" s="33" t="s">
        <v>27</v>
      </c>
      <c r="E162" s="22" t="s">
        <v>572</v>
      </c>
      <c r="F162" s="24"/>
      <c r="G162" s="24"/>
      <c r="H162" s="24"/>
      <c r="I162" s="24"/>
      <c r="J162" s="24"/>
      <c r="K162" s="23" t="s">
        <v>58</v>
      </c>
    </row>
    <row r="163" spans="1:11" ht="45" hidden="1" customHeight="1" x14ac:dyDescent="0.35">
      <c r="A163" s="17">
        <v>162</v>
      </c>
      <c r="B163" s="19" t="s">
        <v>570</v>
      </c>
      <c r="C163" s="19" t="s">
        <v>573</v>
      </c>
      <c r="D163" s="33" t="s">
        <v>27</v>
      </c>
      <c r="E163" s="22" t="s">
        <v>574</v>
      </c>
      <c r="F163" s="24"/>
      <c r="G163" s="24"/>
      <c r="H163" s="24"/>
      <c r="I163" s="24"/>
      <c r="J163" s="24"/>
      <c r="K163" s="24"/>
    </row>
    <row r="164" spans="1:11" ht="30" hidden="1" customHeight="1" x14ac:dyDescent="0.35">
      <c r="A164" s="17">
        <v>163</v>
      </c>
      <c r="B164" s="19" t="s">
        <v>570</v>
      </c>
      <c r="C164" s="19" t="s">
        <v>575</v>
      </c>
      <c r="D164" s="32" t="s">
        <v>13</v>
      </c>
      <c r="E164" s="20" t="s">
        <v>21</v>
      </c>
      <c r="F164" s="24"/>
      <c r="G164" s="24"/>
      <c r="H164" s="24"/>
      <c r="I164" s="24"/>
      <c r="J164" s="24"/>
      <c r="K164" s="24"/>
    </row>
    <row r="165" spans="1:11" ht="30" hidden="1" customHeight="1" x14ac:dyDescent="0.35">
      <c r="A165" s="17">
        <v>164</v>
      </c>
      <c r="B165" s="19" t="s">
        <v>570</v>
      </c>
      <c r="C165" s="19" t="s">
        <v>576</v>
      </c>
      <c r="D165" s="32" t="s">
        <v>13</v>
      </c>
      <c r="E165" s="20" t="s">
        <v>577</v>
      </c>
      <c r="F165" s="24"/>
      <c r="G165" s="24"/>
      <c r="H165" s="24"/>
      <c r="I165" s="24"/>
      <c r="J165" s="24"/>
      <c r="K165" s="24"/>
    </row>
    <row r="166" spans="1:11" ht="30" hidden="1" customHeight="1" x14ac:dyDescent="0.35">
      <c r="A166" s="17">
        <v>165</v>
      </c>
      <c r="B166" s="19" t="s">
        <v>570</v>
      </c>
      <c r="C166" s="19" t="s">
        <v>578</v>
      </c>
      <c r="D166" s="32" t="s">
        <v>13</v>
      </c>
      <c r="E166" s="20" t="s">
        <v>21</v>
      </c>
      <c r="F166" s="24"/>
      <c r="G166" s="24"/>
      <c r="H166" s="24"/>
      <c r="I166" s="24"/>
      <c r="J166" s="24"/>
      <c r="K166" s="24"/>
    </row>
    <row r="167" spans="1:11" ht="30" hidden="1" customHeight="1" x14ac:dyDescent="0.35">
      <c r="A167" s="17">
        <v>166</v>
      </c>
      <c r="B167" s="19" t="s">
        <v>570</v>
      </c>
      <c r="C167" s="19" t="s">
        <v>579</v>
      </c>
      <c r="D167" s="33" t="s">
        <v>27</v>
      </c>
      <c r="E167" s="20" t="s">
        <v>21</v>
      </c>
      <c r="F167" s="24"/>
      <c r="G167" s="24"/>
      <c r="H167" s="24"/>
      <c r="I167" s="24"/>
      <c r="J167" s="24"/>
      <c r="K167" s="24"/>
    </row>
    <row r="168" spans="1:11" ht="45" hidden="1" customHeight="1" x14ac:dyDescent="0.35">
      <c r="A168" s="17">
        <v>167</v>
      </c>
      <c r="B168" s="19" t="s">
        <v>570</v>
      </c>
      <c r="C168" s="19" t="s">
        <v>580</v>
      </c>
      <c r="D168" s="33" t="s">
        <v>27</v>
      </c>
      <c r="E168" s="22" t="s">
        <v>581</v>
      </c>
      <c r="F168" s="24"/>
      <c r="G168" s="24"/>
      <c r="H168" s="24"/>
      <c r="I168" s="24"/>
      <c r="J168" s="24"/>
      <c r="K168" s="24"/>
    </row>
    <row r="169" spans="1:11" ht="30" hidden="1" customHeight="1" x14ac:dyDescent="0.35">
      <c r="A169" s="17">
        <v>168</v>
      </c>
      <c r="B169" s="19" t="s">
        <v>570</v>
      </c>
      <c r="C169" s="19" t="s">
        <v>582</v>
      </c>
      <c r="D169" s="32" t="s">
        <v>13</v>
      </c>
      <c r="E169" s="20" t="s">
        <v>21</v>
      </c>
      <c r="F169" s="24"/>
      <c r="G169" s="24"/>
      <c r="H169" s="24"/>
      <c r="I169" s="24"/>
      <c r="J169" s="24"/>
      <c r="K169" s="24"/>
    </row>
    <row r="170" spans="1:11" ht="30" hidden="1" customHeight="1" x14ac:dyDescent="0.35">
      <c r="A170" s="17">
        <v>169</v>
      </c>
      <c r="B170" s="19" t="s">
        <v>570</v>
      </c>
      <c r="C170" s="19" t="s">
        <v>583</v>
      </c>
      <c r="D170" s="32" t="s">
        <v>13</v>
      </c>
      <c r="E170" s="20" t="s">
        <v>21</v>
      </c>
      <c r="F170" s="24"/>
      <c r="G170" s="24"/>
      <c r="H170" s="24"/>
      <c r="I170" s="24"/>
      <c r="J170" s="24"/>
      <c r="K170" s="24"/>
    </row>
    <row r="171" spans="1:11" ht="30" hidden="1" customHeight="1" x14ac:dyDescent="0.35">
      <c r="A171" s="17">
        <v>170</v>
      </c>
      <c r="B171" s="19" t="s">
        <v>570</v>
      </c>
      <c r="C171" s="19" t="s">
        <v>584</v>
      </c>
      <c r="D171" s="32" t="s">
        <v>13</v>
      </c>
      <c r="E171" s="20" t="s">
        <v>21</v>
      </c>
      <c r="F171" s="24"/>
      <c r="G171" s="24"/>
      <c r="H171" s="24"/>
      <c r="I171" s="24"/>
      <c r="J171" s="24"/>
      <c r="K171" s="24"/>
    </row>
    <row r="172" spans="1:11" ht="30" customHeight="1" x14ac:dyDescent="0.35">
      <c r="A172" s="17">
        <v>171</v>
      </c>
      <c r="B172" s="19" t="s">
        <v>585</v>
      </c>
      <c r="C172" s="19" t="s">
        <v>586</v>
      </c>
      <c r="D172" s="35" t="s">
        <v>52</v>
      </c>
      <c r="E172" s="20" t="s">
        <v>587</v>
      </c>
      <c r="F172" s="45" t="s">
        <v>588</v>
      </c>
      <c r="G172" s="45" t="s">
        <v>589</v>
      </c>
      <c r="H172" s="45" t="s">
        <v>590</v>
      </c>
      <c r="I172" s="45" t="s">
        <v>591</v>
      </c>
      <c r="J172" s="45" t="s">
        <v>592</v>
      </c>
      <c r="K172" s="24" t="s">
        <v>19</v>
      </c>
    </row>
    <row r="173" spans="1:11" ht="30" hidden="1" customHeight="1" x14ac:dyDescent="0.35">
      <c r="A173" s="17">
        <v>172</v>
      </c>
      <c r="B173" s="19" t="s">
        <v>585</v>
      </c>
      <c r="C173" s="19" t="s">
        <v>593</v>
      </c>
      <c r="D173" s="32" t="s">
        <v>13</v>
      </c>
      <c r="E173" s="20" t="s">
        <v>21</v>
      </c>
      <c r="F173" s="24"/>
      <c r="G173" s="24"/>
      <c r="H173" s="24"/>
      <c r="I173" s="24"/>
      <c r="J173" s="24"/>
      <c r="K173" s="24"/>
    </row>
    <row r="174" spans="1:11" ht="30" hidden="1" customHeight="1" x14ac:dyDescent="0.35">
      <c r="A174" s="17">
        <v>173</v>
      </c>
      <c r="B174" s="19" t="s">
        <v>585</v>
      </c>
      <c r="C174" s="19" t="s">
        <v>594</v>
      </c>
      <c r="D174" s="33" t="s">
        <v>27</v>
      </c>
      <c r="E174" s="20" t="s">
        <v>595</v>
      </c>
      <c r="F174" s="24"/>
      <c r="G174" s="24"/>
      <c r="H174" s="24"/>
      <c r="I174" s="24"/>
      <c r="J174" s="24"/>
      <c r="K174" s="24"/>
    </row>
    <row r="175" spans="1:11" ht="30" hidden="1" customHeight="1" x14ac:dyDescent="0.35">
      <c r="A175" s="17">
        <v>174</v>
      </c>
      <c r="B175" s="19" t="s">
        <v>585</v>
      </c>
      <c r="C175" s="19" t="s">
        <v>596</v>
      </c>
      <c r="D175" s="32" t="s">
        <v>13</v>
      </c>
      <c r="E175" s="20" t="s">
        <v>21</v>
      </c>
      <c r="F175" s="24"/>
      <c r="G175" s="24"/>
      <c r="H175" s="24"/>
      <c r="I175" s="24"/>
      <c r="J175" s="24"/>
      <c r="K175" s="24"/>
    </row>
    <row r="176" spans="1:11" ht="30" hidden="1" customHeight="1" x14ac:dyDescent="0.35">
      <c r="A176" s="17">
        <v>175</v>
      </c>
      <c r="B176" s="19" t="s">
        <v>585</v>
      </c>
      <c r="C176" s="19" t="s">
        <v>597</v>
      </c>
      <c r="D176" s="33" t="s">
        <v>27</v>
      </c>
      <c r="E176" s="20" t="s">
        <v>21</v>
      </c>
      <c r="F176" s="24"/>
      <c r="G176" s="24"/>
      <c r="H176" s="24"/>
      <c r="I176" s="24"/>
      <c r="J176" s="24"/>
      <c r="K176" s="24"/>
    </row>
    <row r="177" spans="1:11" ht="30" hidden="1" customHeight="1" x14ac:dyDescent="0.35">
      <c r="A177" s="17">
        <v>176</v>
      </c>
      <c r="B177" s="19" t="s">
        <v>585</v>
      </c>
      <c r="C177" s="19" t="s">
        <v>598</v>
      </c>
      <c r="D177" s="32" t="s">
        <v>13</v>
      </c>
      <c r="E177" s="20" t="s">
        <v>21</v>
      </c>
      <c r="F177" s="24"/>
      <c r="G177" s="24"/>
      <c r="H177" s="24"/>
      <c r="I177" s="24"/>
      <c r="J177" s="24"/>
      <c r="K177" s="24"/>
    </row>
    <row r="178" spans="1:11" ht="30" hidden="1" customHeight="1" x14ac:dyDescent="0.35">
      <c r="A178" s="17">
        <v>177</v>
      </c>
      <c r="B178" s="19" t="s">
        <v>585</v>
      </c>
      <c r="C178" s="19" t="s">
        <v>599</v>
      </c>
      <c r="D178" s="33" t="s">
        <v>27</v>
      </c>
      <c r="E178" s="20" t="s">
        <v>21</v>
      </c>
      <c r="F178" s="24"/>
      <c r="G178" s="24"/>
      <c r="H178" s="24"/>
      <c r="I178" s="24"/>
      <c r="J178" s="24"/>
      <c r="K178" s="24"/>
    </row>
    <row r="179" spans="1:11" ht="30" hidden="1" customHeight="1" x14ac:dyDescent="0.35">
      <c r="A179" s="17">
        <v>178</v>
      </c>
      <c r="B179" s="19" t="s">
        <v>585</v>
      </c>
      <c r="C179" s="19" t="s">
        <v>600</v>
      </c>
      <c r="D179" s="33" t="s">
        <v>27</v>
      </c>
      <c r="E179" s="20" t="s">
        <v>21</v>
      </c>
      <c r="F179" s="24"/>
      <c r="G179" s="24"/>
      <c r="H179" s="24"/>
      <c r="I179" s="24"/>
      <c r="J179" s="24"/>
      <c r="K179" s="24"/>
    </row>
    <row r="180" spans="1:11" ht="30" hidden="1" customHeight="1" x14ac:dyDescent="0.35">
      <c r="A180" s="17">
        <v>179</v>
      </c>
      <c r="B180" s="19" t="s">
        <v>585</v>
      </c>
      <c r="C180" s="19" t="s">
        <v>601</v>
      </c>
      <c r="D180" s="32" t="s">
        <v>13</v>
      </c>
      <c r="E180" s="20" t="s">
        <v>21</v>
      </c>
      <c r="F180" s="24"/>
      <c r="G180" s="24"/>
      <c r="H180" s="24"/>
      <c r="I180" s="24"/>
      <c r="J180" s="24"/>
      <c r="K180" s="24"/>
    </row>
    <row r="181" spans="1:11" ht="30" hidden="1" customHeight="1" x14ac:dyDescent="0.35">
      <c r="A181" s="17">
        <v>180</v>
      </c>
      <c r="B181" s="19" t="s">
        <v>585</v>
      </c>
      <c r="C181" s="19" t="s">
        <v>602</v>
      </c>
      <c r="D181" s="32" t="s">
        <v>13</v>
      </c>
      <c r="E181" s="20" t="s">
        <v>21</v>
      </c>
      <c r="F181" s="24"/>
      <c r="G181" s="24"/>
      <c r="H181" s="24"/>
      <c r="I181" s="24"/>
      <c r="J181" s="24"/>
      <c r="K181" s="24"/>
    </row>
    <row r="182" spans="1:11" ht="30" hidden="1" customHeight="1" x14ac:dyDescent="0.35">
      <c r="A182" s="17">
        <v>181</v>
      </c>
      <c r="B182" s="19" t="s">
        <v>603</v>
      </c>
      <c r="C182" s="19" t="s">
        <v>604</v>
      </c>
      <c r="D182" s="34" t="s">
        <v>40</v>
      </c>
      <c r="E182" s="20" t="s">
        <v>605</v>
      </c>
      <c r="F182" s="24"/>
      <c r="G182" s="24"/>
      <c r="H182" s="24"/>
      <c r="I182" s="24"/>
      <c r="J182" s="24"/>
      <c r="K182" s="24"/>
    </row>
    <row r="183" spans="1:11" ht="30" hidden="1" customHeight="1" x14ac:dyDescent="0.35">
      <c r="A183" s="17">
        <v>182</v>
      </c>
      <c r="B183" s="19" t="s">
        <v>603</v>
      </c>
      <c r="C183" s="19" t="s">
        <v>606</v>
      </c>
      <c r="D183" s="34" t="s">
        <v>40</v>
      </c>
      <c r="E183" s="20" t="s">
        <v>605</v>
      </c>
      <c r="F183" s="24"/>
      <c r="G183" s="24"/>
      <c r="H183" s="24"/>
      <c r="I183" s="24"/>
      <c r="J183" s="24"/>
      <c r="K183" s="24"/>
    </row>
    <row r="184" spans="1:11" ht="30" customHeight="1" x14ac:dyDescent="0.35">
      <c r="A184" s="17">
        <v>183</v>
      </c>
      <c r="B184" s="19" t="s">
        <v>603</v>
      </c>
      <c r="C184" s="19" t="s">
        <v>607</v>
      </c>
      <c r="D184" s="35" t="s">
        <v>52</v>
      </c>
      <c r="E184" s="22" t="s">
        <v>608</v>
      </c>
      <c r="F184" s="45" t="s">
        <v>609</v>
      </c>
      <c r="G184" s="45" t="s">
        <v>610</v>
      </c>
      <c r="H184" s="45" t="s">
        <v>611</v>
      </c>
      <c r="I184" s="45" t="s">
        <v>612</v>
      </c>
      <c r="J184" s="45" t="s">
        <v>613</v>
      </c>
      <c r="K184" s="24" t="s">
        <v>58</v>
      </c>
    </row>
    <row r="185" spans="1:11" ht="30" customHeight="1" x14ac:dyDescent="0.35">
      <c r="A185" s="17">
        <v>184</v>
      </c>
      <c r="B185" s="19" t="s">
        <v>603</v>
      </c>
      <c r="C185" s="19" t="s">
        <v>614</v>
      </c>
      <c r="D185" s="35" t="s">
        <v>52</v>
      </c>
      <c r="E185" s="20" t="s">
        <v>21</v>
      </c>
      <c r="F185" s="45" t="s">
        <v>615</v>
      </c>
      <c r="G185" s="45" t="s">
        <v>616</v>
      </c>
      <c r="H185" s="45" t="s">
        <v>617</v>
      </c>
      <c r="I185" s="45" t="s">
        <v>618</v>
      </c>
      <c r="J185" s="45" t="s">
        <v>619</v>
      </c>
      <c r="K185" s="24" t="s">
        <v>19</v>
      </c>
    </row>
    <row r="186" spans="1:11" ht="30" customHeight="1" x14ac:dyDescent="0.35">
      <c r="A186" s="17">
        <v>185</v>
      </c>
      <c r="B186" s="19" t="s">
        <v>603</v>
      </c>
      <c r="C186" s="19" t="s">
        <v>620</v>
      </c>
      <c r="D186" s="35" t="s">
        <v>52</v>
      </c>
      <c r="E186" s="22" t="s">
        <v>621</v>
      </c>
      <c r="F186" s="45" t="s">
        <v>622</v>
      </c>
      <c r="G186" s="45" t="s">
        <v>623</v>
      </c>
      <c r="H186" s="45" t="s">
        <v>624</v>
      </c>
      <c r="I186" s="45" t="s">
        <v>625</v>
      </c>
      <c r="J186" s="45" t="s">
        <v>626</v>
      </c>
      <c r="K186" s="24" t="s">
        <v>19</v>
      </c>
    </row>
    <row r="187" spans="1:11" ht="30" hidden="1" customHeight="1" x14ac:dyDescent="0.35">
      <c r="A187" s="17">
        <v>186</v>
      </c>
      <c r="B187" s="19" t="s">
        <v>603</v>
      </c>
      <c r="C187" s="19" t="s">
        <v>627</v>
      </c>
      <c r="D187" s="32" t="s">
        <v>13</v>
      </c>
      <c r="E187" s="20" t="s">
        <v>605</v>
      </c>
      <c r="F187" s="24"/>
      <c r="G187" s="24"/>
      <c r="H187" s="24"/>
      <c r="I187" s="24"/>
      <c r="J187" s="24"/>
      <c r="K187" s="24"/>
    </row>
    <row r="188" spans="1:11" ht="30" hidden="1" customHeight="1" x14ac:dyDescent="0.35">
      <c r="A188" s="17">
        <v>187</v>
      </c>
      <c r="B188" s="19" t="s">
        <v>603</v>
      </c>
      <c r="C188" s="19" t="s">
        <v>628</v>
      </c>
      <c r="D188" s="32" t="s">
        <v>13</v>
      </c>
      <c r="E188" s="20" t="s">
        <v>21</v>
      </c>
      <c r="F188" s="24"/>
      <c r="G188" s="24"/>
      <c r="H188" s="24"/>
      <c r="I188" s="24"/>
      <c r="J188" s="24"/>
      <c r="K188" s="24"/>
    </row>
    <row r="189" spans="1:11" ht="30" hidden="1" customHeight="1" x14ac:dyDescent="0.35">
      <c r="A189" s="17">
        <v>188</v>
      </c>
      <c r="B189" s="19" t="s">
        <v>603</v>
      </c>
      <c r="C189" s="19" t="s">
        <v>629</v>
      </c>
      <c r="D189" s="34" t="s">
        <v>40</v>
      </c>
      <c r="E189" s="20" t="s">
        <v>605</v>
      </c>
      <c r="F189" s="24"/>
      <c r="G189" s="24"/>
      <c r="H189" s="24"/>
      <c r="I189" s="24"/>
      <c r="J189" s="24"/>
      <c r="K189" s="24"/>
    </row>
    <row r="190" spans="1:11" ht="30" hidden="1" customHeight="1" x14ac:dyDescent="0.35">
      <c r="A190" s="17">
        <v>189</v>
      </c>
      <c r="B190" s="19" t="s">
        <v>603</v>
      </c>
      <c r="C190" s="19" t="s">
        <v>630</v>
      </c>
      <c r="D190" s="32" t="s">
        <v>13</v>
      </c>
      <c r="E190" s="20" t="s">
        <v>21</v>
      </c>
      <c r="F190" s="24"/>
      <c r="G190" s="24"/>
      <c r="H190" s="24"/>
      <c r="I190" s="24"/>
      <c r="J190" s="24"/>
      <c r="K190" s="24"/>
    </row>
    <row r="191" spans="1:11" ht="30" hidden="1" customHeight="1" x14ac:dyDescent="0.35">
      <c r="A191" s="17">
        <v>190</v>
      </c>
      <c r="B191" s="19" t="s">
        <v>603</v>
      </c>
      <c r="C191" s="19" t="s">
        <v>631</v>
      </c>
      <c r="D191" s="34" t="s">
        <v>40</v>
      </c>
      <c r="E191" s="20" t="s">
        <v>605</v>
      </c>
      <c r="F191" s="24"/>
      <c r="G191" s="24"/>
      <c r="H191" s="24"/>
      <c r="I191" s="24"/>
      <c r="J191" s="24"/>
      <c r="K191" s="24"/>
    </row>
    <row r="192" spans="1:11" ht="30" hidden="1" customHeight="1" x14ac:dyDescent="0.35">
      <c r="A192" s="17">
        <v>191</v>
      </c>
      <c r="B192" s="29" t="s">
        <v>632</v>
      </c>
      <c r="C192" s="19" t="s">
        <v>633</v>
      </c>
      <c r="D192" s="32" t="s">
        <v>13</v>
      </c>
      <c r="E192" s="27" t="s">
        <v>634</v>
      </c>
      <c r="F192" s="24"/>
      <c r="G192" s="24"/>
      <c r="H192" s="24"/>
      <c r="I192" s="24"/>
      <c r="J192" s="24"/>
      <c r="K192" s="24"/>
    </row>
    <row r="193" spans="1:11" ht="30" hidden="1" customHeight="1" x14ac:dyDescent="0.35">
      <c r="A193" s="17">
        <v>192</v>
      </c>
      <c r="B193" s="29" t="s">
        <v>632</v>
      </c>
      <c r="C193" s="19" t="s">
        <v>635</v>
      </c>
      <c r="D193" s="33" t="s">
        <v>27</v>
      </c>
      <c r="E193" s="22" t="s">
        <v>636</v>
      </c>
      <c r="F193" s="24"/>
      <c r="G193" s="24"/>
      <c r="H193" s="24"/>
      <c r="I193" s="24"/>
      <c r="J193" s="24"/>
      <c r="K193" s="24"/>
    </row>
    <row r="194" spans="1:11" ht="30" hidden="1" customHeight="1" x14ac:dyDescent="0.35">
      <c r="A194" s="17">
        <v>193</v>
      </c>
      <c r="B194" s="29" t="s">
        <v>632</v>
      </c>
      <c r="C194" s="19" t="s">
        <v>637</v>
      </c>
      <c r="D194" s="34" t="s">
        <v>40</v>
      </c>
      <c r="E194" s="20" t="s">
        <v>638</v>
      </c>
      <c r="F194" s="24"/>
      <c r="G194" s="24"/>
      <c r="H194" s="24"/>
      <c r="I194" s="24"/>
      <c r="J194" s="24"/>
      <c r="K194" s="24"/>
    </row>
    <row r="195" spans="1:11" ht="30" hidden="1" customHeight="1" x14ac:dyDescent="0.35">
      <c r="A195" s="17">
        <v>194</v>
      </c>
      <c r="B195" s="29" t="s">
        <v>632</v>
      </c>
      <c r="C195" s="19" t="s">
        <v>639</v>
      </c>
      <c r="D195" s="34" t="s">
        <v>40</v>
      </c>
      <c r="E195" s="27" t="s">
        <v>640</v>
      </c>
      <c r="F195" s="24"/>
      <c r="G195" s="24"/>
      <c r="H195" s="24"/>
      <c r="I195" s="24"/>
      <c r="J195" s="24"/>
      <c r="K195" s="24"/>
    </row>
    <row r="196" spans="1:11" ht="272.5" customHeight="1" x14ac:dyDescent="0.35">
      <c r="A196" s="17" t="s">
        <v>641</v>
      </c>
      <c r="B196" s="29" t="s">
        <v>632</v>
      </c>
      <c r="C196" s="19" t="s">
        <v>642</v>
      </c>
      <c r="D196" s="35" t="s">
        <v>52</v>
      </c>
      <c r="E196" s="27" t="s">
        <v>643</v>
      </c>
      <c r="F196" s="45" t="s">
        <v>644</v>
      </c>
      <c r="G196" s="45" t="s">
        <v>645</v>
      </c>
      <c r="H196" s="45" t="s">
        <v>646</v>
      </c>
      <c r="I196" s="45" t="s">
        <v>647</v>
      </c>
      <c r="J196" s="45" t="s">
        <v>648</v>
      </c>
      <c r="K196" s="24" t="s">
        <v>19</v>
      </c>
    </row>
    <row r="197" spans="1:11" ht="30" hidden="1" customHeight="1" x14ac:dyDescent="0.35">
      <c r="A197" s="17">
        <v>196</v>
      </c>
      <c r="B197" s="29" t="s">
        <v>632</v>
      </c>
      <c r="C197" s="19" t="s">
        <v>649</v>
      </c>
      <c r="D197" s="34" t="s">
        <v>40</v>
      </c>
      <c r="E197" s="20" t="s">
        <v>638</v>
      </c>
      <c r="F197" s="24"/>
      <c r="G197" s="24"/>
      <c r="H197" s="24"/>
      <c r="I197" s="24"/>
      <c r="J197" s="24"/>
      <c r="K197" s="24"/>
    </row>
    <row r="198" spans="1:11" ht="30" hidden="1" customHeight="1" x14ac:dyDescent="0.35">
      <c r="A198" s="17">
        <v>197</v>
      </c>
      <c r="B198" s="29" t="s">
        <v>632</v>
      </c>
      <c r="C198" s="19" t="s">
        <v>650</v>
      </c>
      <c r="D198" s="32" t="s">
        <v>13</v>
      </c>
      <c r="E198" s="27" t="s">
        <v>651</v>
      </c>
      <c r="F198" s="24"/>
      <c r="G198" s="24"/>
      <c r="H198" s="24"/>
      <c r="I198" s="24"/>
      <c r="J198" s="24"/>
      <c r="K198" s="24"/>
    </row>
    <row r="199" spans="1:11" ht="30" hidden="1" customHeight="1" x14ac:dyDescent="0.35">
      <c r="A199" s="17">
        <v>198</v>
      </c>
      <c r="B199" s="29" t="s">
        <v>632</v>
      </c>
      <c r="C199" s="19" t="s">
        <v>652</v>
      </c>
      <c r="D199" s="34" t="s">
        <v>40</v>
      </c>
      <c r="E199" s="20" t="s">
        <v>638</v>
      </c>
      <c r="F199" s="24"/>
      <c r="G199" s="24"/>
      <c r="H199" s="24"/>
      <c r="I199" s="24"/>
      <c r="J199" s="24"/>
      <c r="K199" s="24"/>
    </row>
    <row r="200" spans="1:11" ht="30" hidden="1" customHeight="1" x14ac:dyDescent="0.35">
      <c r="A200" s="17">
        <v>199</v>
      </c>
      <c r="B200" s="29" t="s">
        <v>632</v>
      </c>
      <c r="C200" s="19" t="s">
        <v>653</v>
      </c>
      <c r="D200" s="32" t="s">
        <v>13</v>
      </c>
      <c r="E200" s="20" t="s">
        <v>638</v>
      </c>
      <c r="F200" s="24"/>
      <c r="G200" s="24"/>
      <c r="H200" s="24"/>
      <c r="I200" s="24"/>
      <c r="J200" s="24"/>
      <c r="K200" s="24"/>
    </row>
    <row r="201" spans="1:11" ht="30" hidden="1" customHeight="1" x14ac:dyDescent="0.35">
      <c r="A201" s="17">
        <v>200</v>
      </c>
      <c r="B201" s="29" t="s">
        <v>632</v>
      </c>
      <c r="C201" s="19" t="s">
        <v>654</v>
      </c>
      <c r="D201" s="32" t="s">
        <v>13</v>
      </c>
      <c r="E201" s="27" t="s">
        <v>655</v>
      </c>
      <c r="F201" s="24"/>
      <c r="G201" s="24"/>
      <c r="H201" s="24"/>
      <c r="I201" s="24"/>
      <c r="J201" s="24"/>
      <c r="K201" s="24"/>
    </row>
  </sheetData>
  <autoFilter ref="A1:E201" xr:uid="{00000000-0009-0000-0000-000000000000}">
    <filterColumn colId="1">
      <filters>
        <filter val="1. Data Connectivity &amp; Integration"/>
        <filter val="10. Embedded Analytics"/>
        <filter val="11. Extensibility &amp; Developer Ecosystem"/>
        <filter val="14. Interoperability &amp; Standards"/>
        <filter val="15. Self-Service &amp; Authoring Experience"/>
        <filter val="16. Report Consumption &amp; Alerting"/>
        <filter val="17. Data Lineage &amp; Audit Trail"/>
        <filter val="18. Version Control &amp; CI/CD for BI"/>
        <filter val="19. Real-time &amp; Streaming Analytics"/>
        <filter val="2. Visualization &amp; UX"/>
        <filter val="20. Localization &amp; Internationalization"/>
        <filter val="3. Governance, Security &amp; Compliance"/>
        <filter val="4. Performance &amp; Scalability"/>
        <filter val="5. Collaboration &amp; Sharing"/>
        <filter val="6. Licensing &amp; TCO"/>
        <filter val="7. AI/ML &amp; Advanced Analytics"/>
        <filter val="8. Deployment &amp; IT Operations"/>
        <filter val="9. Data Modeling &amp; Semantic Layer"/>
      </filters>
    </filterColumn>
    <filterColumn colId="3">
      <filters>
        <filter val="High"/>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2"/>
  <sheetViews>
    <sheetView workbookViewId="0">
      <pane ySplit="1" topLeftCell="A2" activePane="bottomLeft" state="frozen"/>
      <selection pane="bottomLeft" activeCell="A6" sqref="A6"/>
    </sheetView>
  </sheetViews>
  <sheetFormatPr defaultRowHeight="14.5" x14ac:dyDescent="0.35"/>
  <cols>
    <col min="1" max="1" width="36" customWidth="1"/>
    <col min="2" max="4" width="10" customWidth="1"/>
    <col min="5" max="5" width="14" customWidth="1"/>
    <col min="6" max="6" width="10" customWidth="1"/>
  </cols>
  <sheetData>
    <row r="1" spans="1:6" x14ac:dyDescent="0.35">
      <c r="A1" s="1" t="s">
        <v>1</v>
      </c>
      <c r="B1" s="1" t="s">
        <v>52</v>
      </c>
      <c r="C1" s="1" t="s">
        <v>27</v>
      </c>
      <c r="D1" s="1" t="s">
        <v>13</v>
      </c>
      <c r="E1" s="1" t="s">
        <v>40</v>
      </c>
      <c r="F1" s="1" t="s">
        <v>656</v>
      </c>
    </row>
    <row r="2" spans="1:6" x14ac:dyDescent="0.35">
      <c r="A2" s="2" t="s">
        <v>11</v>
      </c>
      <c r="B2" s="5">
        <f>COUNTIFS('Evaluation Matrix - 1'!$B$2:$B$201,$A2,'Evaluation Matrix - 1'!$D$2:$D$201,"High")</f>
        <v>2</v>
      </c>
      <c r="C2" s="6">
        <f>COUNTIFS('Evaluation Matrix - 1'!$B$2:$B$201,$A2,'Evaluation Matrix - 1'!$D$2:$D$201,"Medium")</f>
        <v>1</v>
      </c>
      <c r="D2" s="7">
        <f>COUNTIFS('Evaluation Matrix - 1'!$B$2:$B$201,$A2,'Evaluation Matrix - 1'!$D$2:$D$201,"Low")</f>
        <v>5</v>
      </c>
      <c r="E2" s="8">
        <f>COUNTIFS('Evaluation Matrix - 1'!$B$2:$B$201,$A2,'Evaluation Matrix - 1'!$D$2:$D$201,"Not needed")</f>
        <v>2</v>
      </c>
      <c r="F2" s="3">
        <f t="shared" ref="F2:F22" si="0">SUM(B2:E2)</f>
        <v>10</v>
      </c>
    </row>
    <row r="3" spans="1:6" x14ac:dyDescent="0.35">
      <c r="A3" s="50" t="s">
        <v>78</v>
      </c>
      <c r="B3" s="5">
        <f>COUNTIFS('Evaluation Matrix - 1'!$B$2:$B$201,$A3,'Evaluation Matrix - 1'!$D$2:$D$201,"High")</f>
        <v>6</v>
      </c>
      <c r="C3" s="6">
        <f>COUNTIFS('Evaluation Matrix - 1'!$B$2:$B$201,$A3,'Evaluation Matrix - 1'!$D$2:$D$201,"Medium")</f>
        <v>1</v>
      </c>
      <c r="D3" s="7">
        <f>COUNTIFS('Evaluation Matrix - 1'!$B$2:$B$201,$A3,'Evaluation Matrix - 1'!$D$2:$D$201,"Low")</f>
        <v>2</v>
      </c>
      <c r="E3" s="8">
        <f>COUNTIFS('Evaluation Matrix - 1'!$B$2:$B$201,$A3,'Evaluation Matrix - 1'!$D$2:$D$201,"Not needed")</f>
        <v>1</v>
      </c>
      <c r="F3" s="3">
        <f t="shared" si="0"/>
        <v>10</v>
      </c>
    </row>
    <row r="4" spans="1:6" x14ac:dyDescent="0.35">
      <c r="A4" s="2" t="s">
        <v>143</v>
      </c>
      <c r="B4" s="5">
        <f>COUNTIFS('Evaluation Matrix - 1'!$B$2:$B$201,$A4,'Evaluation Matrix - 1'!$D$2:$D$201,"High")</f>
        <v>3</v>
      </c>
      <c r="C4" s="6">
        <f>COUNTIFS('Evaluation Matrix - 1'!$B$2:$B$201,$A4,'Evaluation Matrix - 1'!$D$2:$D$201,"Medium")</f>
        <v>4</v>
      </c>
      <c r="D4" s="7">
        <f>COUNTIFS('Evaluation Matrix - 1'!$B$2:$B$201,$A4,'Evaluation Matrix - 1'!$D$2:$D$201,"Low")</f>
        <v>2</v>
      </c>
      <c r="E4" s="8">
        <f>COUNTIFS('Evaluation Matrix - 1'!$B$2:$B$201,$A4,'Evaluation Matrix - 1'!$D$2:$D$201,"Not needed")</f>
        <v>1</v>
      </c>
      <c r="F4" s="3">
        <f t="shared" si="0"/>
        <v>10</v>
      </c>
    </row>
    <row r="5" spans="1:6" x14ac:dyDescent="0.35">
      <c r="A5" s="2" t="s">
        <v>175</v>
      </c>
      <c r="B5" s="5">
        <f>COUNTIFS('Evaluation Matrix - 1'!$B$2:$B$201,$A5,'Evaluation Matrix - 1'!$D$2:$D$201,"High")</f>
        <v>6</v>
      </c>
      <c r="C5" s="6">
        <f>COUNTIFS('Evaluation Matrix - 1'!$B$2:$B$201,$A5,'Evaluation Matrix - 1'!$D$2:$D$201,"Medium")</f>
        <v>3</v>
      </c>
      <c r="D5" s="7">
        <f>COUNTIFS('Evaluation Matrix - 1'!$B$2:$B$201,$A5,'Evaluation Matrix - 1'!$D$2:$D$201,"Low")</f>
        <v>1</v>
      </c>
      <c r="E5" s="8">
        <f>COUNTIFS('Evaluation Matrix - 1'!$B$2:$B$201,$A5,'Evaluation Matrix - 1'!$D$2:$D$201,"Not needed")</f>
        <v>0</v>
      </c>
      <c r="F5" s="3">
        <f t="shared" si="0"/>
        <v>10</v>
      </c>
    </row>
    <row r="6" spans="1:6" x14ac:dyDescent="0.35">
      <c r="A6" s="50" t="s">
        <v>226</v>
      </c>
      <c r="B6" s="5">
        <f>COUNTIFS('Evaluation Matrix - 1'!$B$2:$B$201,$A6,'Evaluation Matrix - 1'!$D$2:$D$201,"High")</f>
        <v>5</v>
      </c>
      <c r="C6" s="6">
        <f>COUNTIFS('Evaluation Matrix - 1'!$B$2:$B$201,$A6,'Evaluation Matrix - 1'!$D$2:$D$201,"Medium")</f>
        <v>2</v>
      </c>
      <c r="D6" s="7">
        <f>COUNTIFS('Evaluation Matrix - 1'!$B$2:$B$201,$A6,'Evaluation Matrix - 1'!$D$2:$D$201,"Low")</f>
        <v>3</v>
      </c>
      <c r="E6" s="8">
        <f>COUNTIFS('Evaluation Matrix - 1'!$B$2:$B$201,$A6,'Evaluation Matrix - 1'!$D$2:$D$201,"Not needed")</f>
        <v>0</v>
      </c>
      <c r="F6" s="3">
        <f t="shared" si="0"/>
        <v>10</v>
      </c>
    </row>
    <row r="7" spans="1:6" x14ac:dyDescent="0.35">
      <c r="A7" s="50" t="s">
        <v>267</v>
      </c>
      <c r="B7" s="5">
        <f>COUNTIFS('Evaluation Matrix - 1'!$B$2:$B$201,$A7,'Evaluation Matrix - 1'!$D$2:$D$201,"High")</f>
        <v>6</v>
      </c>
      <c r="C7" s="6">
        <f>COUNTIFS('Evaluation Matrix - 1'!$B$2:$B$201,$A7,'Evaluation Matrix - 1'!$D$2:$D$201,"Medium")</f>
        <v>3</v>
      </c>
      <c r="D7" s="7">
        <f>COUNTIFS('Evaluation Matrix - 1'!$B$2:$B$201,$A7,'Evaluation Matrix - 1'!$D$2:$D$201,"Low")</f>
        <v>1</v>
      </c>
      <c r="E7" s="8">
        <f>COUNTIFS('Evaluation Matrix - 1'!$B$2:$B$201,$A7,'Evaluation Matrix - 1'!$D$2:$D$201,"Not needed")</f>
        <v>0</v>
      </c>
      <c r="F7" s="3">
        <f t="shared" si="0"/>
        <v>10</v>
      </c>
    </row>
    <row r="8" spans="1:6" x14ac:dyDescent="0.35">
      <c r="A8" s="2" t="s">
        <v>318</v>
      </c>
      <c r="B8" s="5">
        <f>COUNTIFS('Evaluation Matrix - 1'!$B$2:$B$201,$A8,'Evaluation Matrix - 1'!$D$2:$D$201,"High")</f>
        <v>0</v>
      </c>
      <c r="C8" s="6">
        <f>COUNTIFS('Evaluation Matrix - 1'!$B$2:$B$201,$A8,'Evaluation Matrix - 1'!$D$2:$D$201,"Medium")</f>
        <v>2</v>
      </c>
      <c r="D8" s="7">
        <f>COUNTIFS('Evaluation Matrix - 1'!$B$2:$B$201,$A8,'Evaluation Matrix - 1'!$D$2:$D$201,"Low")</f>
        <v>6</v>
      </c>
      <c r="E8" s="8">
        <f>COUNTIFS('Evaluation Matrix - 1'!$B$2:$B$201,$A8,'Evaluation Matrix - 1'!$D$2:$D$201,"Not needed")</f>
        <v>2</v>
      </c>
      <c r="F8" s="3">
        <f t="shared" si="0"/>
        <v>10</v>
      </c>
    </row>
    <row r="9" spans="1:6" x14ac:dyDescent="0.35">
      <c r="A9" s="2" t="s">
        <v>332</v>
      </c>
      <c r="B9" s="5">
        <f>COUNTIFS('Evaluation Matrix - 1'!$B$2:$B$201,$A9,'Evaluation Matrix - 1'!$D$2:$D$201,"High")</f>
        <v>4</v>
      </c>
      <c r="C9" s="6">
        <f>COUNTIFS('Evaluation Matrix - 1'!$B$2:$B$201,$A9,'Evaluation Matrix - 1'!$D$2:$D$201,"Medium")</f>
        <v>4</v>
      </c>
      <c r="D9" s="7">
        <f>COUNTIFS('Evaluation Matrix - 1'!$B$2:$B$201,$A9,'Evaluation Matrix - 1'!$D$2:$D$201,"Low")</f>
        <v>1</v>
      </c>
      <c r="E9" s="8">
        <f>COUNTIFS('Evaluation Matrix - 1'!$B$2:$B$201,$A9,'Evaluation Matrix - 1'!$D$2:$D$201,"Not needed")</f>
        <v>1</v>
      </c>
      <c r="F9" s="3">
        <f t="shared" si="0"/>
        <v>10</v>
      </c>
    </row>
    <row r="10" spans="1:6" x14ac:dyDescent="0.35">
      <c r="A10" s="2" t="s">
        <v>369</v>
      </c>
      <c r="B10" s="5">
        <f>COUNTIFS('Evaluation Matrix - 1'!$B$2:$B$201,$A10,'Evaluation Matrix - 1'!$D$2:$D$201,"High")</f>
        <v>7</v>
      </c>
      <c r="C10" s="6">
        <f>COUNTIFS('Evaluation Matrix - 1'!$B$2:$B$201,$A10,'Evaluation Matrix - 1'!$D$2:$D$201,"Medium")</f>
        <v>3</v>
      </c>
      <c r="D10" s="7">
        <f>COUNTIFS('Evaluation Matrix - 1'!$B$2:$B$201,$A10,'Evaluation Matrix - 1'!$D$2:$D$201,"Low")</f>
        <v>0</v>
      </c>
      <c r="E10" s="8">
        <f>COUNTIFS('Evaluation Matrix - 1'!$B$2:$B$201,$A10,'Evaluation Matrix - 1'!$D$2:$D$201,"Not needed")</f>
        <v>0</v>
      </c>
      <c r="F10" s="3">
        <f t="shared" si="0"/>
        <v>10</v>
      </c>
    </row>
    <row r="11" spans="1:6" x14ac:dyDescent="0.35">
      <c r="A11" s="14" t="s">
        <v>425</v>
      </c>
      <c r="B11" s="5">
        <f>COUNTIFS('Evaluation Matrix - 1'!$B$2:$B$201,$A11,'Evaluation Matrix - 1'!$D$2:$D$201,"High")</f>
        <v>0</v>
      </c>
      <c r="C11" s="6">
        <f>COUNTIFS('Evaluation Matrix - 1'!$B$2:$B$201,$A11,'Evaluation Matrix - 1'!$D$2:$D$201,"Medium")</f>
        <v>0</v>
      </c>
      <c r="D11" s="7">
        <f>COUNTIFS('Evaluation Matrix - 1'!$B$2:$B$201,$A11,'Evaluation Matrix - 1'!$D$2:$D$201,"Low")</f>
        <v>2</v>
      </c>
      <c r="E11" s="8">
        <f>COUNTIFS('Evaluation Matrix - 1'!$B$2:$B$201,$A11,'Evaluation Matrix - 1'!$D$2:$D$201,"Not needed")</f>
        <v>8</v>
      </c>
      <c r="F11" s="3">
        <f t="shared" si="0"/>
        <v>10</v>
      </c>
    </row>
    <row r="12" spans="1:6" ht="30" customHeight="1" x14ac:dyDescent="0.35">
      <c r="A12" s="50" t="s">
        <v>437</v>
      </c>
      <c r="B12" s="5">
        <f>COUNTIFS('Evaluation Matrix - 1'!$B$2:$B$201,$A12,'Evaluation Matrix - 1'!$D$2:$D$201,"High")</f>
        <v>2</v>
      </c>
      <c r="C12" s="6">
        <f>COUNTIFS('Evaluation Matrix - 1'!$B$2:$B$201,$A12,'Evaluation Matrix - 1'!$D$2:$D$201,"Medium")</f>
        <v>4</v>
      </c>
      <c r="D12" s="7">
        <f>COUNTIFS('Evaluation Matrix - 1'!$B$2:$B$201,$A12,'Evaluation Matrix - 1'!$D$2:$D$201,"Low")</f>
        <v>4</v>
      </c>
      <c r="E12" s="8">
        <f>COUNTIFS('Evaluation Matrix - 1'!$B$2:$B$201,$A12,'Evaluation Matrix - 1'!$D$2:$D$201,"Not needed")</f>
        <v>0</v>
      </c>
      <c r="F12" s="3">
        <f t="shared" si="0"/>
        <v>10</v>
      </c>
    </row>
    <row r="13" spans="1:6" x14ac:dyDescent="0.35">
      <c r="A13" s="14" t="s">
        <v>449</v>
      </c>
      <c r="B13" s="5">
        <f>COUNTIFS('Evaluation Matrix - 1'!$B$2:$B$201,$A13,'Evaluation Matrix - 1'!$D$2:$D$201,"High")</f>
        <v>0</v>
      </c>
      <c r="C13" s="6">
        <f>COUNTIFS('Evaluation Matrix - 1'!$B$2:$B$201,$A13,'Evaluation Matrix - 1'!$D$2:$D$201,"Medium")</f>
        <v>7</v>
      </c>
      <c r="D13" s="7">
        <f>COUNTIFS('Evaluation Matrix - 1'!$B$2:$B$201,$A13,'Evaluation Matrix - 1'!$D$2:$D$201,"Low")</f>
        <v>3</v>
      </c>
      <c r="E13" s="8">
        <f>COUNTIFS('Evaluation Matrix - 1'!$B$2:$B$201,$A13,'Evaluation Matrix - 1'!$D$2:$D$201,"Not needed")</f>
        <v>0</v>
      </c>
      <c r="F13" s="3">
        <f t="shared" si="0"/>
        <v>10</v>
      </c>
    </row>
    <row r="14" spans="1:6" x14ac:dyDescent="0.35">
      <c r="A14" s="14" t="s">
        <v>462</v>
      </c>
      <c r="B14" s="5">
        <f>COUNTIFS('Evaluation Matrix - 1'!$B$2:$B$201,$A14,'Evaluation Matrix - 1'!$D$2:$D$201,"High")</f>
        <v>0</v>
      </c>
      <c r="C14" s="6">
        <f>COUNTIFS('Evaluation Matrix - 1'!$B$2:$B$201,$A14,'Evaluation Matrix - 1'!$D$2:$D$201,"Medium")</f>
        <v>2</v>
      </c>
      <c r="D14" s="7">
        <f>COUNTIFS('Evaluation Matrix - 1'!$B$2:$B$201,$A14,'Evaluation Matrix - 1'!$D$2:$D$201,"Low")</f>
        <v>8</v>
      </c>
      <c r="E14" s="8">
        <f>COUNTIFS('Evaluation Matrix - 1'!$B$2:$B$201,$A14,'Evaluation Matrix - 1'!$D$2:$D$201,"Not needed")</f>
        <v>0</v>
      </c>
      <c r="F14" s="3">
        <f t="shared" si="0"/>
        <v>10</v>
      </c>
    </row>
    <row r="15" spans="1:6" x14ac:dyDescent="0.35">
      <c r="A15" s="50" t="s">
        <v>475</v>
      </c>
      <c r="B15" s="5">
        <f>COUNTIFS('Evaluation Matrix - 1'!$B$2:$B$201,$A15,'Evaluation Matrix - 1'!$D$2:$D$201,"High")</f>
        <v>1</v>
      </c>
      <c r="C15" s="6">
        <f>COUNTIFS('Evaluation Matrix - 1'!$B$2:$B$201,$A15,'Evaluation Matrix - 1'!$D$2:$D$201,"Medium")</f>
        <v>2</v>
      </c>
      <c r="D15" s="7">
        <f>COUNTIFS('Evaluation Matrix - 1'!$B$2:$B$201,$A15,'Evaluation Matrix - 1'!$D$2:$D$201,"Low")</f>
        <v>5</v>
      </c>
      <c r="E15" s="8">
        <f>COUNTIFS('Evaluation Matrix - 1'!$B$2:$B$201,$A15,'Evaluation Matrix - 1'!$D$2:$D$201,"Not needed")</f>
        <v>2</v>
      </c>
      <c r="F15" s="3">
        <f t="shared" si="0"/>
        <v>10</v>
      </c>
    </row>
    <row r="16" spans="1:6" ht="30" customHeight="1" x14ac:dyDescent="0.35">
      <c r="A16" s="50" t="s">
        <v>492</v>
      </c>
      <c r="B16" s="5">
        <f>COUNTIFS('Evaluation Matrix - 1'!$B$2:$B$201,$A16,'Evaluation Matrix - 1'!$D$2:$D$201,"High")</f>
        <v>5</v>
      </c>
      <c r="C16" s="6">
        <f>COUNTIFS('Evaluation Matrix - 1'!$B$2:$B$201,$A16,'Evaluation Matrix - 1'!$D$2:$D$201,"Medium")</f>
        <v>4</v>
      </c>
      <c r="D16" s="7">
        <f>COUNTIFS('Evaluation Matrix - 1'!$B$2:$B$201,$A16,'Evaluation Matrix - 1'!$D$2:$D$201,"Low")</f>
        <v>1</v>
      </c>
      <c r="E16" s="8">
        <f>COUNTIFS('Evaluation Matrix - 1'!$B$2:$B$201,$A16,'Evaluation Matrix - 1'!$D$2:$D$201,"Not needed")</f>
        <v>0</v>
      </c>
      <c r="F16" s="3">
        <f t="shared" si="0"/>
        <v>10</v>
      </c>
    </row>
    <row r="17" spans="1:6" x14ac:dyDescent="0.35">
      <c r="A17" s="2" t="s">
        <v>528</v>
      </c>
      <c r="B17" s="5">
        <f>COUNTIFS('Evaluation Matrix - 1'!$B$2:$B$201,$A17,'Evaluation Matrix - 1'!$D$2:$D$201,"High")</f>
        <v>5</v>
      </c>
      <c r="C17" s="6">
        <f>COUNTIFS('Evaluation Matrix - 1'!$B$2:$B$201,$A17,'Evaluation Matrix - 1'!$D$2:$D$201,"Medium")</f>
        <v>2</v>
      </c>
      <c r="D17" s="7">
        <f>COUNTIFS('Evaluation Matrix - 1'!$B$2:$B$201,$A17,'Evaluation Matrix - 1'!$D$2:$D$201,"Low")</f>
        <v>3</v>
      </c>
      <c r="E17" s="8">
        <f>COUNTIFS('Evaluation Matrix - 1'!$B$2:$B$201,$A17,'Evaluation Matrix - 1'!$D$2:$D$201,"Not needed")</f>
        <v>0</v>
      </c>
      <c r="F17" s="3">
        <f t="shared" si="0"/>
        <v>10</v>
      </c>
    </row>
    <row r="18" spans="1:6" x14ac:dyDescent="0.35">
      <c r="A18" s="2" t="s">
        <v>570</v>
      </c>
      <c r="B18" s="5">
        <f>COUNTIFS('Evaluation Matrix - 1'!$B$2:$B$201,$A18,'Evaluation Matrix - 1'!$D$2:$D$201,"High")</f>
        <v>0</v>
      </c>
      <c r="C18" s="6">
        <f>COUNTIFS('Evaluation Matrix - 1'!$B$2:$B$201,$A18,'Evaluation Matrix - 1'!$D$2:$D$201,"Medium")</f>
        <v>4</v>
      </c>
      <c r="D18" s="7">
        <f>COUNTIFS('Evaluation Matrix - 1'!$B$2:$B$201,$A18,'Evaluation Matrix - 1'!$D$2:$D$201,"Low")</f>
        <v>6</v>
      </c>
      <c r="E18" s="8">
        <f>COUNTIFS('Evaluation Matrix - 1'!$B$2:$B$201,$A18,'Evaluation Matrix - 1'!$D$2:$D$201,"Not needed")</f>
        <v>0</v>
      </c>
      <c r="F18" s="3">
        <f t="shared" si="0"/>
        <v>10</v>
      </c>
    </row>
    <row r="19" spans="1:6" x14ac:dyDescent="0.35">
      <c r="A19" s="2" t="s">
        <v>585</v>
      </c>
      <c r="B19" s="5">
        <f>COUNTIFS('Evaluation Matrix - 1'!$B$2:$B$201,$A19,'Evaluation Matrix - 1'!$D$2:$D$201,"High")</f>
        <v>1</v>
      </c>
      <c r="C19" s="6">
        <f>COUNTIFS('Evaluation Matrix - 1'!$B$2:$B$201,$A19,'Evaluation Matrix - 1'!$D$2:$D$201,"Medium")</f>
        <v>4</v>
      </c>
      <c r="D19" s="7">
        <f>COUNTIFS('Evaluation Matrix - 1'!$B$2:$B$201,$A19,'Evaluation Matrix - 1'!$D$2:$D$201,"Low")</f>
        <v>5</v>
      </c>
      <c r="E19" s="8">
        <f>COUNTIFS('Evaluation Matrix - 1'!$B$2:$B$201,$A19,'Evaluation Matrix - 1'!$D$2:$D$201,"Not needed")</f>
        <v>0</v>
      </c>
      <c r="F19" s="3">
        <f t="shared" si="0"/>
        <v>10</v>
      </c>
    </row>
    <row r="20" spans="1:6" x14ac:dyDescent="0.35">
      <c r="A20" s="2" t="s">
        <v>603</v>
      </c>
      <c r="B20" s="5">
        <f>COUNTIFS('Evaluation Matrix - 1'!$B$2:$B$201,$A20,'Evaluation Matrix - 1'!$D$2:$D$201,"High")</f>
        <v>3</v>
      </c>
      <c r="C20" s="6">
        <f>COUNTIFS('Evaluation Matrix - 1'!$B$2:$B$201,$A20,'Evaluation Matrix - 1'!$D$2:$D$201,"Medium")</f>
        <v>0</v>
      </c>
      <c r="D20" s="7">
        <f>COUNTIFS('Evaluation Matrix - 1'!$B$2:$B$201,$A20,'Evaluation Matrix - 1'!$D$2:$D$201,"Low")</f>
        <v>3</v>
      </c>
      <c r="E20" s="8">
        <f>COUNTIFS('Evaluation Matrix - 1'!$B$2:$B$201,$A20,'Evaluation Matrix - 1'!$D$2:$D$201,"Not needed")</f>
        <v>4</v>
      </c>
      <c r="F20" s="3">
        <f t="shared" si="0"/>
        <v>10</v>
      </c>
    </row>
    <row r="21" spans="1:6" x14ac:dyDescent="0.35">
      <c r="A21" s="49" t="s">
        <v>632</v>
      </c>
      <c r="B21" s="5">
        <f>COUNTIFS('Evaluation Matrix - 1'!$B$2:$B$201,$A21,'Evaluation Matrix - 1'!$D$2:$D$201,"High")</f>
        <v>1</v>
      </c>
      <c r="C21" s="6">
        <f>COUNTIFS('Evaluation Matrix - 1'!$B$2:$B$201,$A21,'Evaluation Matrix - 1'!$D$2:$D$201,"Medium")</f>
        <v>1</v>
      </c>
      <c r="D21" s="7">
        <f>COUNTIFS('Evaluation Matrix - 1'!$B$2:$B$201,$A21,'Evaluation Matrix - 1'!$D$2:$D$201,"Low")</f>
        <v>4</v>
      </c>
      <c r="E21" s="8">
        <f>COUNTIFS('Evaluation Matrix - 1'!$B$2:$B$201,$A21,'Evaluation Matrix - 1'!$D$2:$D$201,"Not needed")</f>
        <v>4</v>
      </c>
      <c r="F21" s="3">
        <f t="shared" si="0"/>
        <v>10</v>
      </c>
    </row>
    <row r="22" spans="1:6" x14ac:dyDescent="0.35">
      <c r="A22" s="4" t="s">
        <v>657</v>
      </c>
      <c r="B22" s="36">
        <f>SUM(B2:B21)</f>
        <v>57</v>
      </c>
      <c r="C22" s="37">
        <f>SUM(C2:C21)</f>
        <v>53</v>
      </c>
      <c r="D22" s="38">
        <f>SUM(D2:D21)</f>
        <v>65</v>
      </c>
      <c r="E22" s="39">
        <f>SUM(E2:E21)</f>
        <v>25</v>
      </c>
      <c r="F22" s="40">
        <f t="shared" si="0"/>
        <v>200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
  <sheetViews>
    <sheetView workbookViewId="0">
      <selection activeCell="B9" sqref="B9"/>
    </sheetView>
  </sheetViews>
  <sheetFormatPr defaultRowHeight="14.5" x14ac:dyDescent="0.35"/>
  <cols>
    <col min="1" max="1" width="14" customWidth="1"/>
    <col min="2" max="2" width="110" customWidth="1"/>
  </cols>
  <sheetData>
    <row r="1" spans="1:2" x14ac:dyDescent="0.35">
      <c r="A1" s="1" t="s">
        <v>3</v>
      </c>
      <c r="B1" s="1" t="s">
        <v>658</v>
      </c>
    </row>
    <row r="2" spans="1:2" x14ac:dyDescent="0.35">
      <c r="A2" s="41" t="s">
        <v>52</v>
      </c>
      <c r="B2" s="2" t="s">
        <v>659</v>
      </c>
    </row>
    <row r="3" spans="1:2" x14ac:dyDescent="0.35">
      <c r="A3" s="42" t="s">
        <v>27</v>
      </c>
      <c r="B3" s="2" t="s">
        <v>660</v>
      </c>
    </row>
    <row r="4" spans="1:2" x14ac:dyDescent="0.35">
      <c r="A4" s="43" t="s">
        <v>13</v>
      </c>
      <c r="B4" s="2" t="s">
        <v>661</v>
      </c>
    </row>
    <row r="5" spans="1:2" x14ac:dyDescent="0.35">
      <c r="A5" s="44" t="s">
        <v>40</v>
      </c>
      <c r="B5" s="2" t="s">
        <v>662</v>
      </c>
    </row>
    <row r="7" spans="1:2" ht="45" customHeight="1" x14ac:dyDescent="0.35">
      <c r="A7" s="31" t="s">
        <v>663</v>
      </c>
      <c r="B7" s="1" t="s">
        <v>658</v>
      </c>
    </row>
    <row r="8" spans="1:2" x14ac:dyDescent="0.35">
      <c r="A8" s="9"/>
      <c r="B8" s="10" t="s">
        <v>664</v>
      </c>
    </row>
    <row r="9" spans="1:2" x14ac:dyDescent="0.35">
      <c r="A9" s="11"/>
      <c r="B9" s="10" t="s">
        <v>665</v>
      </c>
    </row>
    <row r="10" spans="1:2" x14ac:dyDescent="0.35">
      <c r="A10" s="12"/>
      <c r="B10" t="s">
        <v>666</v>
      </c>
    </row>
    <row r="11" spans="1:2" x14ac:dyDescent="0.35">
      <c r="A11" s="13"/>
      <c r="B11" s="10" t="s">
        <v>667</v>
      </c>
    </row>
    <row r="14" spans="1:2" x14ac:dyDescent="0.35">
      <c r="B14" t="s">
        <v>668</v>
      </c>
    </row>
    <row r="15" spans="1:2" x14ac:dyDescent="0.35">
      <c r="B15" t="s">
        <v>669</v>
      </c>
    </row>
    <row r="16" spans="1:2" x14ac:dyDescent="0.35">
      <c r="B16" t="s">
        <v>670</v>
      </c>
    </row>
    <row r="17" spans="2:2" x14ac:dyDescent="0.35">
      <c r="B17" t="s">
        <v>671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Evaluation Matrix - 1</vt:lpstr>
      <vt:lpstr>Priority Summary</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Sridhar Vetrivel</cp:lastModifiedBy>
  <dcterms:created xsi:type="dcterms:W3CDTF">2026-05-18T07:28:12Z</dcterms:created>
  <dcterms:modified xsi:type="dcterms:W3CDTF">2026-06-09T09:27:28Z</dcterms:modified>
</cp:coreProperties>
</file>